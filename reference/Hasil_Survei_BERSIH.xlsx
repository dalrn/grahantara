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500" firstSheet="0" activeTab="0" autoFilterDateGrouping="1"/>
  </bookViews>
  <sheets>
    <sheet xmlns:r="http://schemas.openxmlformats.org/officeDocument/2006/relationships" name="Ruas" sheetId="1" state="visible" r:id="rId1"/>
    <sheet xmlns:r="http://schemas.openxmlformats.org/officeDocument/2006/relationships" name="Halte" sheetId="2" state="visible" r:id="rId2"/>
    <sheet xmlns:r="http://schemas.openxmlformats.org/officeDocument/2006/relationships" name="Ekonomi" sheetId="3" state="visible" r:id="rId3"/>
    <sheet xmlns:r="http://schemas.openxmlformats.org/officeDocument/2006/relationships" name="Kos" sheetId="4" state="visible" r:id="rId4"/>
    <sheet xmlns:r="http://schemas.openxmlformats.org/officeDocument/2006/relationships" name="Panduan_W6" sheetId="5" state="visible" r:id="rId5"/>
    <sheet xmlns:r="http://schemas.openxmlformats.org/officeDocument/2006/relationships" name="Flag" sheetId="6" state="visible" r:id="rId6"/>
  </sheets>
  <definedNames>
    <definedName name="_xlnm._FilterDatabase" localSheetId="0" hidden="1">'Ruas'!$A$1:$AJ$85</definedName>
    <definedName name="_xlnm._FilterDatabase" localSheetId="1" hidden="1">'Halte'!$A$1:$V$13</definedName>
    <definedName name="_xlnm._FilterDatabase" localSheetId="2" hidden="1">'Ekonomi'!$A$1:$T$13</definedName>
    <definedName name="_xlnm._FilterDatabase" localSheetId="3" hidden="1">'Kos'!$A$1:$U$32</definedName>
    <definedName name="_xlnm._FilterDatabase" localSheetId="5" hidden="1">'Flag'!$A$1:$G$93</definedName>
  </definedNames>
  <calcPr calcId="191029" fullCalcOnLoad="1"/>
</workbook>
</file>

<file path=xl/styles.xml><?xml version="1.0" encoding="utf-8"?>
<styleSheet xmlns="http://schemas.openxmlformats.org/spreadsheetml/2006/main">
  <numFmts count="1">
    <numFmt numFmtId="164" formatCode="0.000"/>
  </numFmts>
  <fonts count="6">
    <font>
      <name val="Calibri"/>
      <charset val="1"/>
      <family val="2"/>
      <color theme="1"/>
      <sz val="11"/>
    </font>
    <font>
      <name val="Arial"/>
      <charset val="1"/>
      <b val="1"/>
      <color rgb="FFFFFFFF"/>
      <sz val="10"/>
    </font>
    <font>
      <name val="Arial"/>
      <charset val="1"/>
      <sz val="10"/>
    </font>
    <font>
      <name val="Arial"/>
      <charset val="1"/>
      <b val="1"/>
      <sz val="13"/>
    </font>
    <font>
      <name val="Arial"/>
      <charset val="1"/>
      <b val="1"/>
      <sz val="11"/>
    </font>
    <font>
      <name val="Arial"/>
      <charset val="1"/>
      <color rgb="FF0000FF"/>
      <sz val="10"/>
    </font>
  </fonts>
  <fills count="9">
    <fill>
      <patternFill/>
    </fill>
    <fill>
      <patternFill patternType="gray125"/>
    </fill>
    <fill>
      <patternFill patternType="solid">
        <fgColor rgb="FF1F4E3D"/>
        <bgColor rgb="FF2F6F55"/>
      </patternFill>
    </fill>
    <fill>
      <patternFill patternType="solid">
        <fgColor rgb="FF2F6F55"/>
        <bgColor rgb="FF1F4E3D"/>
      </patternFill>
    </fill>
    <fill>
      <patternFill patternType="solid">
        <fgColor rgb="FFDDEBF7"/>
        <bgColor rgb="FFE2EFDA"/>
      </patternFill>
    </fill>
    <fill>
      <patternFill patternType="solid">
        <fgColor rgb="FFFFFF00"/>
        <bgColor rgb="FFFFFF00"/>
      </patternFill>
    </fill>
    <fill>
      <patternFill patternType="solid">
        <fgColor rgb="FFF8CBAD"/>
        <bgColor rgb="FFFFE699"/>
      </patternFill>
    </fill>
    <fill>
      <patternFill patternType="solid">
        <fgColor rgb="FFFFE699"/>
        <bgColor rgb="FFF8CBAD"/>
      </patternFill>
    </fill>
    <fill>
      <patternFill patternType="solid">
        <fgColor rgb="FFE2EFDA"/>
        <bgColor rgb="FFDDEBF7"/>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2" fillId="0" borderId="0" pivotButton="0" quotePrefix="0" xfId="0"/>
    <xf numFmtId="164" fontId="2" fillId="4" borderId="0" pivotButton="0" quotePrefix="0" xfId="0"/>
    <xf numFmtId="2" fontId="2" fillId="4" borderId="0" pivotButton="0" quotePrefix="0" xfId="0"/>
    <xf numFmtId="0" fontId="2" fillId="4" borderId="0" pivotButton="0" quotePrefix="0" xfId="0"/>
    <xf numFmtId="0" fontId="3" fillId="0" borderId="0" pivotButton="0" quotePrefix="0" xfId="0"/>
    <xf numFmtId="0" fontId="4" fillId="0" borderId="0" pivotButton="0" quotePrefix="0" xfId="0"/>
    <xf numFmtId="0" fontId="5" fillId="5" borderId="0" pivotButton="0" quotePrefix="0" xfId="0"/>
    <xf numFmtId="0" fontId="1" fillId="2" borderId="0" pivotButton="0" quotePrefix="0" xfId="0"/>
    <xf numFmtId="0" fontId="5" fillId="0" borderId="0" pivotButton="0" quotePrefix="0" xfId="0"/>
    <xf numFmtId="164" fontId="2" fillId="0" borderId="0" pivotButton="0" quotePrefix="0" xfId="0"/>
    <xf numFmtId="1" fontId="2" fillId="0" borderId="0" pivotButton="0" quotePrefix="0" xfId="0"/>
    <xf numFmtId="0" fontId="2" fillId="0" borderId="0" applyAlignment="1" pivotButton="0" quotePrefix="0" xfId="0">
      <alignment wrapText="1"/>
    </xf>
    <xf numFmtId="0" fontId="2" fillId="6" borderId="0" pivotButton="0" quotePrefix="0" xfId="0"/>
    <xf numFmtId="0" fontId="2" fillId="7" borderId="0" pivotButton="0" quotePrefix="0" xfId="0"/>
    <xf numFmtId="0" fontId="2" fillId="8" borderId="0" pivotButton="0" quotePrefix="0" xfId="0"/>
  </cellXfs>
  <cellStyles count="1">
    <cellStyle name="Normal" xfId="0" builtinId="0"/>
  </cellStyles>
  <dxfs count="1">
    <dxf>
      <fill>
        <patternFill>
          <bgColor rgb="FFF8CBA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F6F55"/>
      <rgbColor rgb="FFC0C0C0"/>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4E3D"/>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85"/>
  <sheetViews>
    <sheetView tabSelected="1" topLeftCell="U1" zoomScale="77" zoomScaleNormal="100" workbookViewId="0">
      <pane ySplit="1" topLeftCell="A5" activePane="bottomLeft" state="frozen"/>
      <selection pane="bottomLeft" activeCell="Z14" sqref="Z14"/>
    </sheetView>
  </sheetViews>
  <sheetFormatPr baseColWidth="8" defaultColWidth="8.6640625" defaultRowHeight="14.4"/>
  <cols>
    <col width="10" customWidth="1" min="1" max="4"/>
    <col width="12" customWidth="1" min="5" max="5"/>
    <col width="10" customWidth="1" min="6" max="6"/>
    <col width="46" customWidth="1" min="7" max="7"/>
    <col width="18" customWidth="1" min="8" max="8"/>
    <col width="13" customWidth="1" min="9" max="9"/>
    <col width="21" customWidth="1" min="10" max="10"/>
    <col width="11" customWidth="1" min="11" max="11"/>
    <col width="19" customWidth="1" min="12" max="12"/>
    <col width="17" customWidth="1" min="13" max="13"/>
    <col width="30" customWidth="1" min="14" max="14"/>
    <col width="35" customWidth="1" min="15" max="15"/>
    <col width="33" customWidth="1" min="16" max="16"/>
    <col width="24" customWidth="1" min="17" max="17"/>
    <col width="20" customWidth="1" min="18" max="18"/>
    <col width="31" customWidth="1" min="19" max="19"/>
    <col width="20" customWidth="1" min="20" max="20"/>
    <col width="26" customWidth="1" min="21" max="21"/>
    <col width="23" customWidth="1" min="22" max="22"/>
    <col width="21" customWidth="1" min="23" max="23"/>
    <col width="29" customWidth="1" min="24" max="24"/>
    <col width="13" customWidth="1" min="25" max="25"/>
    <col width="46" customWidth="1" min="26" max="26"/>
    <col width="19" customWidth="1" min="27" max="27"/>
    <col width="26" customWidth="1" min="28" max="28"/>
    <col width="46" customWidth="1" min="29" max="32"/>
    <col width="38" customWidth="1" min="33" max="33"/>
    <col width="46" customWidth="1" min="34" max="36"/>
  </cols>
  <sheetData>
    <row r="1" ht="30" customHeight="1">
      <c r="A1" s="1" t="inlineStr">
        <is>
          <t>ID</t>
        </is>
      </c>
      <c r="B1" s="1" t="inlineStr">
        <is>
          <t>Day</t>
        </is>
      </c>
      <c r="C1" s="1" t="inlineStr">
        <is>
          <t>Kawasan</t>
        </is>
      </c>
      <c r="D1" s="1" t="inlineStr">
        <is>
          <t>Pencatat</t>
        </is>
      </c>
      <c r="E1" s="1" t="inlineStr">
        <is>
          <t>Tanggal</t>
        </is>
      </c>
      <c r="F1" s="1" t="inlineStr">
        <is>
          <t>Jam</t>
        </is>
      </c>
      <c r="G1" s="1" t="inlineStr">
        <is>
          <t>Nama ruas</t>
        </is>
      </c>
      <c r="H1" s="1" t="inlineStr">
        <is>
          <t>Panjang ruas (m)</t>
        </is>
      </c>
      <c r="I1" s="1" t="inlineStr">
        <is>
          <t>Jenis jalan</t>
        </is>
      </c>
      <c r="J1" s="1" t="inlineStr">
        <is>
          <t>Kepadatan kendaraan</t>
        </is>
      </c>
      <c r="K1" s="1" t="inlineStr">
        <is>
          <t>Trotoar</t>
        </is>
      </c>
      <c r="L1" s="1" t="inlineStr">
        <is>
          <t>Lebar Trotoar (m)</t>
        </is>
      </c>
      <c r="M1" s="1" t="inlineStr">
        <is>
          <t>Lebar Jalan (m)</t>
        </is>
      </c>
      <c r="N1" s="1" t="inlineStr">
        <is>
          <t>Panjang trotoar terputus (m)</t>
        </is>
      </c>
      <c r="O1" s="1" t="inlineStr">
        <is>
          <t>Penghalang utama</t>
        </is>
      </c>
      <c r="P1" s="1" t="inlineStr">
        <is>
          <t>Jumlah lubang atau paving lepas</t>
        </is>
      </c>
      <c r="Q1" s="1" t="inlineStr">
        <is>
          <t>Pejalan turun ke jalan</t>
        </is>
      </c>
      <c r="R1" s="1" t="inlineStr">
        <is>
          <t>Jumlah zebra cross</t>
        </is>
      </c>
      <c r="S1" s="1" t="inlineStr">
        <is>
          <t>Jumlah jembatan penyeberangan</t>
        </is>
      </c>
      <c r="T1" s="1" t="inlineStr">
        <is>
          <t>Jumlah tiang lampu</t>
        </is>
      </c>
      <c r="U1" s="1" t="inlineStr">
        <is>
          <t>Jumlah lampu rusak fisik</t>
        </is>
      </c>
      <c r="V1" s="1" t="inlineStr">
        <is>
          <t>Jarak antar tiang (m)</t>
        </is>
      </c>
      <c r="W1" s="1" t="inlineStr">
        <is>
          <t>Keteduhan</t>
        </is>
      </c>
      <c r="X1" s="1" t="inlineStr">
        <is>
          <t>Waktu melintas ruas (detik)</t>
        </is>
      </c>
      <c r="Y1" s="1" t="inlineStr">
        <is>
          <t>Jumlah foto</t>
        </is>
      </c>
      <c r="Z1" s="1" t="inlineStr">
        <is>
          <t>Catatan</t>
        </is>
      </c>
      <c r="AA1" s="1" t="inlineStr">
        <is>
          <t>Muat mobil (unit)</t>
        </is>
      </c>
      <c r="AB1" s="1" t="inlineStr">
        <is>
          <t>Kecepatan implisit (m/s)</t>
        </is>
      </c>
      <c r="AC1" s="2" t="inlineStr">
        <is>
          <t>I-1 ketersediaan</t>
        </is>
      </c>
      <c r="AD1" s="2" t="inlineStr">
        <is>
          <t>I-2 lebar</t>
        </is>
      </c>
      <c r="AE1" s="2" t="inlineStr">
        <is>
          <t>I-3 keutuhan</t>
        </is>
      </c>
      <c r="AF1" s="2" t="inlineStr">
        <is>
          <t>I-4 kemulusan</t>
        </is>
      </c>
      <c r="AG1" s="2" t="inlineStr">
        <is>
          <t>I-5 tidak turun</t>
        </is>
      </c>
      <c r="AH1" s="2" t="inlineStr">
        <is>
          <t>Bobot terpakai</t>
        </is>
      </c>
      <c r="AI1" s="2" t="inlineStr">
        <is>
          <t>W-6 integritas</t>
        </is>
      </c>
      <c r="AJ1" s="2" t="inlineStr">
        <is>
          <t>W-6 status</t>
        </is>
      </c>
    </row>
    <row r="2" ht="15" customHeight="1">
      <c r="A2" s="3" t="inlineStr">
        <is>
          <t>RUAS-001</t>
        </is>
      </c>
      <c r="B2" s="3" t="inlineStr">
        <is>
          <t>Day 1</t>
        </is>
      </c>
      <c r="C2" s="3" t="inlineStr">
        <is>
          <t>KWS-06</t>
        </is>
      </c>
      <c r="D2" s="3" t="inlineStr">
        <is>
          <t>Delon</t>
        </is>
      </c>
      <c r="E2" s="3" t="inlineStr">
        <is>
          <t>2026-08-16</t>
        </is>
      </c>
      <c r="F2" s="3" t="inlineStr">
        <is>
          <t>11:02</t>
        </is>
      </c>
      <c r="G2" s="3" t="inlineStr">
        <is>
          <t>Jl. Besi Jangkang, Gg. bougenvile</t>
        </is>
      </c>
      <c r="H2" s="3" t="n">
        <v>110</v>
      </c>
      <c r="I2" s="3" t="inlineStr">
        <is>
          <t>Gang</t>
        </is>
      </c>
      <c r="J2" s="3" t="inlineStr">
        <is>
          <t>Sepi</t>
        </is>
      </c>
      <c r="K2" s="3" t="inlineStr">
        <is>
          <t>Tidak ada</t>
        </is>
      </c>
      <c r="L2" s="3" t="n">
        <v>0</v>
      </c>
      <c r="M2" s="3" t="n">
        <v>3</v>
      </c>
      <c r="N2" s="3" t="n">
        <v>0</v>
      </c>
      <c r="O2" s="3" t="inlineStr">
        <is>
          <t>tidak ada</t>
        </is>
      </c>
      <c r="P2" s="3" t="n">
        <v>0</v>
      </c>
      <c r="Q2" s="3" t="inlineStr">
        <is>
          <t>Tidak</t>
        </is>
      </c>
      <c r="R2" s="3" t="n">
        <v>0</v>
      </c>
      <c r="S2" s="3" t="n">
        <v>0</v>
      </c>
      <c r="T2" s="3" t="n">
        <v>7</v>
      </c>
      <c r="U2" s="3" t="n">
        <v>1</v>
      </c>
      <c r="V2" s="3" t="n">
        <v>20</v>
      </c>
      <c r="W2" s="3" t="inlineStr">
        <is>
          <t>Di bawah 25 persen</t>
        </is>
      </c>
      <c r="X2" s="3" t="n">
        <v>109</v>
      </c>
      <c r="Y2" s="3" t="n">
        <v>2</v>
      </c>
      <c r="Z2" s="3" t="inlineStr">
        <is>
          <t>Mendekati tanggal kemerdekaan, banyak hiasan bendera. Kondisi jalan rata. Keteduhan sangat minim. Jalan paving.</t>
        </is>
      </c>
      <c r="AA2" s="3" t="n">
        <v>1</v>
      </c>
      <c r="AB2" s="3" t="n">
        <v>1.01</v>
      </c>
      <c r="AC2" s="4">
        <f>IF($K2="","",IF($K2="Ada",1,IF($K2="Sebagian",0.5,0)))</f>
        <v/>
      </c>
      <c r="AD2" s="4">
        <f>IF($K2="","",IF($K2="Tidak ada",0,IF($L2="","",MIN($L2/Panduan_W6!$B$9,1))))</f>
        <v/>
      </c>
      <c r="AE2" s="4">
        <f>IF($K2="","",IF($K2="Tidak ada",0,IF(OR($N2="",$H2=""),"",MAX(0,1-$N2/$H2))))</f>
        <v/>
      </c>
      <c r="AF2" s="4">
        <f>IF(OR($K2="",$K2="Tidak ada"),"",IF(OR($P2="",$H2=""),"",EXP(-$P2/$H2*100/Panduan_W6!$B$10)))</f>
        <v/>
      </c>
      <c r="AG2" s="4">
        <f>IF($Q2="","",IF($Q2="Tidak",1,0))</f>
        <v/>
      </c>
      <c r="AH2" s="5">
        <f>IF(ISNUMBER(AC2),Panduan_W6!$B$4,0)+IF(ISNUMBER(AD2),Panduan_W6!$B$5,0)+IF(ISNUMBER(AE2),Panduan_W6!$B$6,0)+IF(ISNUMBER(AF2),Panduan_W6!$B$7,0)+IF(ISNUMBER(AG2),Panduan_W6!$B$8,0)</f>
        <v/>
      </c>
      <c r="AI2" s="4">
        <f>IF(LEFT(AJ2,7)&lt;&gt;"Lengkap","",IF(AJ2="Lengkap (gang)",AG2,(IF(ISNUMBER(AC2),Panduan_W6!$B$4*AC2,0)+IF(ISNUMBER(AD2),Panduan_W6!$B$5*AD2,0)+IF(ISNUMBER(AE2),Panduan_W6!$B$6*AE2,0)+IF(ISNUMBER(AF2),Panduan_W6!$B$7*AF2,0)+IF(ISNUMBER(AG2),Panduan_W6!$B$8*AG2,0))/AH2))</f>
        <v/>
      </c>
      <c r="AJ2" s="6">
        <f>IF(AND(Panduan_W6!$B$11="Ya",$I2="Gang",$J2="Sepi"),IF(ISNUMBER(AG2),"Lengkap (gang)","Belum lengkap"),IF(AND(ISNUMBER(AC2),ISNUMBER(AD2),ISNUMBER(AE2),ISNUMBER(AG2),OR(ISNUMBER(AF2),$K2="Tidak ada")),"Lengkap","Belum lengkap"))</f>
        <v/>
      </c>
    </row>
    <row r="3" ht="15" customHeight="1">
      <c r="A3" s="3" t="inlineStr">
        <is>
          <t>RUAS-002</t>
        </is>
      </c>
      <c r="B3" s="3" t="inlineStr">
        <is>
          <t>Day 1</t>
        </is>
      </c>
      <c r="C3" s="3" t="inlineStr">
        <is>
          <t>KWS-06</t>
        </is>
      </c>
      <c r="D3" s="3" t="inlineStr">
        <is>
          <t>Andalan</t>
        </is>
      </c>
      <c r="E3" s="3" t="inlineStr">
        <is>
          <t>2026-08-16</t>
        </is>
      </c>
      <c r="F3" s="3" t="inlineStr">
        <is>
          <t>11:28</t>
        </is>
      </c>
      <c r="G3" s="3" t="n"/>
      <c r="H3" s="3" t="n">
        <v>87</v>
      </c>
      <c r="I3" s="3" t="inlineStr">
        <is>
          <t>Gang</t>
        </is>
      </c>
      <c r="J3" s="3" t="inlineStr">
        <is>
          <t>Sepi</t>
        </is>
      </c>
      <c r="K3" s="3" t="inlineStr">
        <is>
          <t>Tidak ada</t>
        </is>
      </c>
      <c r="L3" s="3" t="n">
        <v>0</v>
      </c>
      <c r="M3" s="3" t="n">
        <v>3.7</v>
      </c>
      <c r="N3" s="3" t="n">
        <v>0</v>
      </c>
      <c r="O3" s="3" t="inlineStr">
        <is>
          <t>tidak ada</t>
        </is>
      </c>
      <c r="P3" s="3" t="n">
        <v>1</v>
      </c>
      <c r="Q3" s="3" t="inlineStr">
        <is>
          <t>Ya</t>
        </is>
      </c>
      <c r="R3" s="3" t="n">
        <v>0</v>
      </c>
      <c r="S3" s="3" t="n">
        <v>0</v>
      </c>
      <c r="T3" s="3" t="n">
        <v>3</v>
      </c>
      <c r="U3" s="3" t="n">
        <v>0</v>
      </c>
      <c r="V3" s="3" t="n">
        <v>18</v>
      </c>
      <c r="W3" s="3" t="inlineStr">
        <is>
          <t>Di bawah 25 persen</t>
        </is>
      </c>
      <c r="X3" s="3" t="n">
        <v>72</v>
      </c>
      <c r="Y3" s="3" t="n">
        <v>2</v>
      </c>
      <c r="Z3" s="3" t="inlineStr">
        <is>
          <t>Sedang ada pembangunan di Selatan gang sehingga banyak kerikil dan sampah di sisi jalan.</t>
        </is>
      </c>
      <c r="AA3" s="3" t="n">
        <v>1</v>
      </c>
      <c r="AB3" s="3" t="n">
        <v>1.21</v>
      </c>
      <c r="AC3" s="4">
        <f>IF($K3="","",IF($K3="Ada",1,IF($K3="Sebagian",0.5,0)))</f>
        <v/>
      </c>
      <c r="AD3" s="4">
        <f>IF($K3="","",IF($K3="Tidak ada",0,IF($L3="","",MIN($L3/Panduan_W6!$B$9,1))))</f>
        <v/>
      </c>
      <c r="AE3" s="4">
        <f>IF($K3="","",IF($K3="Tidak ada",0,IF(OR($N3="",$H3=""),"",MAX(0,1-$N3/$H3))))</f>
        <v/>
      </c>
      <c r="AF3" s="4">
        <f>IF(OR($K3="",$K3="Tidak ada"),"",IF(OR($P3="",$H3=""),"",EXP(-$P3/$H3*100/Panduan_W6!$B$10)))</f>
        <v/>
      </c>
      <c r="AG3" s="4">
        <f>IF($Q3="","",IF($Q3="Tidak",1,0))</f>
        <v/>
      </c>
      <c r="AH3" s="5">
        <f>IF(ISNUMBER(AC3),Panduan_W6!$B$4,0)+IF(ISNUMBER(AD3),Panduan_W6!$B$5,0)+IF(ISNUMBER(AE3),Panduan_W6!$B$6,0)+IF(ISNUMBER(AF3),Panduan_W6!$B$7,0)+IF(ISNUMBER(AG3),Panduan_W6!$B$8,0)</f>
        <v/>
      </c>
      <c r="AI3" s="4">
        <f>IF(LEFT(AJ3,7)&lt;&gt;"Lengkap","",IF(AJ3="Lengkap (gang)",AG3,(IF(ISNUMBER(AC3),Panduan_W6!$B$4*AC3,0)+IF(ISNUMBER(AD3),Panduan_W6!$B$5*AD3,0)+IF(ISNUMBER(AE3),Panduan_W6!$B$6*AE3,0)+IF(ISNUMBER(AF3),Panduan_W6!$B$7*AF3,0)+IF(ISNUMBER(AG3),Panduan_W6!$B$8*AG3,0))/AH3))</f>
        <v/>
      </c>
      <c r="AJ3" s="6">
        <f>IF(AND(Panduan_W6!$B$11="Ya",$I3="Gang",$J3="Sepi"),IF(ISNUMBER(AG3),"Lengkap (gang)","Belum lengkap"),IF(AND(ISNUMBER(AC3),ISNUMBER(AD3),ISNUMBER(AE3),ISNUMBER(AG3),OR(ISNUMBER(AF3),$K3="Tidak ada")),"Lengkap","Belum lengkap"))</f>
        <v/>
      </c>
    </row>
    <row r="4" ht="15" customHeight="1">
      <c r="A4" s="3" t="inlineStr">
        <is>
          <t>RUAS-003</t>
        </is>
      </c>
      <c r="B4" s="3" t="inlineStr">
        <is>
          <t>Day 1</t>
        </is>
      </c>
      <c r="C4" s="3" t="inlineStr">
        <is>
          <t>KWS-06</t>
        </is>
      </c>
      <c r="D4" s="3" t="inlineStr">
        <is>
          <t>Devon</t>
        </is>
      </c>
      <c r="E4" s="3" t="inlineStr">
        <is>
          <t>2026-08-16</t>
        </is>
      </c>
      <c r="F4" s="3" t="inlineStr">
        <is>
          <t>11:33</t>
        </is>
      </c>
      <c r="G4" s="3" t="inlineStr">
        <is>
          <t>Jl. Besi Jangkang, Gg. bougenvile</t>
        </is>
      </c>
      <c r="H4" s="3" t="n">
        <v>110</v>
      </c>
      <c r="I4" s="3" t="inlineStr">
        <is>
          <t>Gang</t>
        </is>
      </c>
      <c r="J4" s="3" t="inlineStr">
        <is>
          <t>Sepi</t>
        </is>
      </c>
      <c r="K4" s="3" t="inlineStr">
        <is>
          <t>Tidak ada</t>
        </is>
      </c>
      <c r="L4" s="3" t="n">
        <v>0</v>
      </c>
      <c r="M4" s="3" t="n">
        <v>4.5</v>
      </c>
      <c r="N4" s="3" t="n">
        <v>0</v>
      </c>
      <c r="O4" s="3" t="inlineStr">
        <is>
          <t>tidak ada</t>
        </is>
      </c>
      <c r="P4" s="3" t="n">
        <v>0</v>
      </c>
      <c r="Q4" s="3" t="inlineStr">
        <is>
          <t>Tidak</t>
        </is>
      </c>
      <c r="R4" s="3" t="n">
        <v>0</v>
      </c>
      <c r="S4" s="3" t="n">
        <v>0</v>
      </c>
      <c r="T4" s="3" t="n">
        <v>4</v>
      </c>
      <c r="U4" s="3" t="n">
        <v>0</v>
      </c>
      <c r="V4" s="3" t="n">
        <v>27.5</v>
      </c>
      <c r="W4" s="3" t="inlineStr">
        <is>
          <t>Nihil</t>
        </is>
      </c>
      <c r="X4" s="3" t="n">
        <v>107</v>
      </c>
      <c r="Y4" s="3" t="n">
        <v>2</v>
      </c>
      <c r="Z4" s="3" t="inlineStr">
        <is>
          <t xml:space="preserve">Terusan dari ruas jalan 001. Bantak hiasan tujuhbelasan. Jalan aspal, datar. Keteduhan nihil. </t>
        </is>
      </c>
      <c r="AA4" s="3" t="n">
        <v>1</v>
      </c>
      <c r="AB4" s="3" t="n">
        <v>1.03</v>
      </c>
      <c r="AC4" s="4">
        <f>IF($K4="","",IF($K4="Ada",1,IF($K4="Sebagian",0.5,0)))</f>
        <v/>
      </c>
      <c r="AD4" s="4">
        <f>IF($K4="","",IF($K4="Tidak ada",0,IF($L4="","",MIN($L4/Panduan_W6!$B$9,1))))</f>
        <v/>
      </c>
      <c r="AE4" s="4">
        <f>IF($K4="","",IF($K4="Tidak ada",0,IF(OR($N4="",$H4=""),"",MAX(0,1-$N4/$H4))))</f>
        <v/>
      </c>
      <c r="AF4" s="4">
        <f>IF(OR($K4="",$K4="Tidak ada"),"",IF(OR($P4="",$H4=""),"",EXP(-$P4/$H4*100/Panduan_W6!$B$10)))</f>
        <v/>
      </c>
      <c r="AG4" s="4">
        <f>IF($Q4="","",IF($Q4="Tidak",1,0))</f>
        <v/>
      </c>
      <c r="AH4" s="5">
        <f>IF(ISNUMBER(AC4),Panduan_W6!$B$4,0)+IF(ISNUMBER(AD4),Panduan_W6!$B$5,0)+IF(ISNUMBER(AE4),Panduan_W6!$B$6,0)+IF(ISNUMBER(AF4),Panduan_W6!$B$7,0)+IF(ISNUMBER(AG4),Panduan_W6!$B$8,0)</f>
        <v/>
      </c>
      <c r="AI4" s="4">
        <f>IF(LEFT(AJ4,7)&lt;&gt;"Lengkap","",IF(AJ4="Lengkap (gang)",AG4,(IF(ISNUMBER(AC4),Panduan_W6!$B$4*AC4,0)+IF(ISNUMBER(AD4),Panduan_W6!$B$5*AD4,0)+IF(ISNUMBER(AE4),Panduan_W6!$B$6*AE4,0)+IF(ISNUMBER(AF4),Panduan_W6!$B$7*AF4,0)+IF(ISNUMBER(AG4),Panduan_W6!$B$8*AG4,0))/AH4))</f>
        <v/>
      </c>
      <c r="AJ4" s="6">
        <f>IF(AND(Panduan_W6!$B$11="Ya",$I4="Gang",$J4="Sepi"),IF(ISNUMBER(AG4),"Lengkap (gang)","Belum lengkap"),IF(AND(ISNUMBER(AC4),ISNUMBER(AD4),ISNUMBER(AE4),ISNUMBER(AG4),OR(ISNUMBER(AF4),$K4="Tidak ada")),"Lengkap","Belum lengkap"))</f>
        <v/>
      </c>
    </row>
    <row r="5" ht="15" customHeight="1">
      <c r="A5" s="3" t="inlineStr">
        <is>
          <t>RUAS-004</t>
        </is>
      </c>
      <c r="B5" s="3" t="inlineStr">
        <is>
          <t>Day 1</t>
        </is>
      </c>
      <c r="C5" s="3" t="inlineStr">
        <is>
          <t>KWS-06</t>
        </is>
      </c>
      <c r="D5" s="3" t="inlineStr">
        <is>
          <t>Andalan</t>
        </is>
      </c>
      <c r="E5" s="3" t="inlineStr">
        <is>
          <t>2026-08-16</t>
        </is>
      </c>
      <c r="F5" s="3" t="inlineStr">
        <is>
          <t>12:03</t>
        </is>
      </c>
      <c r="G5" s="3" t="inlineStr">
        <is>
          <t>Jl. Kaliurang Km 12</t>
        </is>
      </c>
      <c r="H5" s="3" t="n">
        <v>80</v>
      </c>
      <c r="I5" s="3" t="inlineStr">
        <is>
          <t>Jalan raya</t>
        </is>
      </c>
      <c r="J5" s="3" t="inlineStr">
        <is>
          <t>Ramai</t>
        </is>
      </c>
      <c r="K5" s="3" t="inlineStr">
        <is>
          <t>Tidak ada</t>
        </is>
      </c>
      <c r="L5" s="3" t="n">
        <v>0</v>
      </c>
      <c r="M5" s="3" t="n">
        <v>8</v>
      </c>
      <c r="N5" s="3" t="n">
        <v>0</v>
      </c>
      <c r="O5" s="3" t="inlineStr">
        <is>
          <t>tiang listrik</t>
        </is>
      </c>
      <c r="P5" s="3" t="n">
        <v>4</v>
      </c>
      <c r="Q5" s="3" t="inlineStr">
        <is>
          <t>Tidak</t>
        </is>
      </c>
      <c r="R5" s="3" t="n">
        <v>0</v>
      </c>
      <c r="S5" s="3" t="n">
        <v>0</v>
      </c>
      <c r="T5" s="3" t="n">
        <v>3</v>
      </c>
      <c r="U5" s="3" t="n">
        <v>0</v>
      </c>
      <c r="V5" s="3" t="n">
        <v>40</v>
      </c>
      <c r="W5" s="3" t="inlineStr">
        <is>
          <t>Nihil</t>
        </is>
      </c>
      <c r="X5" s="3" t="n">
        <v>72</v>
      </c>
      <c r="Y5" s="3" t="n">
        <v>1</v>
      </c>
      <c r="Z5" s="3" t="inlineStr">
        <is>
          <t>Sangat sulit berjalan kaki di samping jalan raya ini, pinggir jalan berlubang, berbatu, tidak rata. Tidak ada peneduhan dan minim penerangan. Banyak warung dan aktivitas ekonomi</t>
        </is>
      </c>
      <c r="AA5" s="3" t="n">
        <v>2</v>
      </c>
      <c r="AB5" s="3" t="n">
        <v>1.11</v>
      </c>
      <c r="AC5" s="4">
        <f>IF($K5="","",IF($K5="Ada",1,IF($K5="Sebagian",0.5,0)))</f>
        <v/>
      </c>
      <c r="AD5" s="4">
        <f>IF($K5="","",IF($K5="Tidak ada",0,IF($L5="","",MIN($L5/Panduan_W6!$B$9,1))))</f>
        <v/>
      </c>
      <c r="AE5" s="4">
        <f>IF($K5="","",IF($K5="Tidak ada",0,IF(OR($N5="",$H5=""),"",MAX(0,1-$N5/$H5))))</f>
        <v/>
      </c>
      <c r="AF5" s="4">
        <f>IF(OR($K5="",$K5="Tidak ada"),"",IF(OR($P5="",$H5=""),"",EXP(-$P5/$H5*100/Panduan_W6!$B$10)))</f>
        <v/>
      </c>
      <c r="AG5" s="4">
        <f>IF($Q5="","",IF($Q5="Tidak",1,0))</f>
        <v/>
      </c>
      <c r="AH5" s="5">
        <f>IF(ISNUMBER(AC5),Panduan_W6!$B$4,0)+IF(ISNUMBER(AD5),Panduan_W6!$B$5,0)+IF(ISNUMBER(AE5),Panduan_W6!$B$6,0)+IF(ISNUMBER(AF5),Panduan_W6!$B$7,0)+IF(ISNUMBER(AG5),Panduan_W6!$B$8,0)</f>
        <v/>
      </c>
      <c r="AI5" s="4">
        <f>IF(LEFT(AJ5,7)&lt;&gt;"Lengkap","",IF(AJ5="Lengkap (gang)",AG5,(IF(ISNUMBER(AC5),Panduan_W6!$B$4*AC5,0)+IF(ISNUMBER(AD5),Panduan_W6!$B$5*AD5,0)+IF(ISNUMBER(AE5),Panduan_W6!$B$6*AE5,0)+IF(ISNUMBER(AF5),Panduan_W6!$B$7*AF5,0)+IF(ISNUMBER(AG5),Panduan_W6!$B$8*AG5,0))/AH5))</f>
        <v/>
      </c>
      <c r="AJ5" s="6">
        <f>IF(AND(Panduan_W6!$B$11="Ya",$I5="Gang",$J5="Sepi"),IF(ISNUMBER(AG5),"Lengkap (gang)","Belum lengkap"),IF(AND(ISNUMBER(AC5),ISNUMBER(AD5),ISNUMBER(AE5),ISNUMBER(AG5),OR(ISNUMBER(AF5),$K5="Tidak ada")),"Lengkap","Belum lengkap"))</f>
        <v/>
      </c>
    </row>
    <row r="6" ht="15" customHeight="1">
      <c r="A6" s="3" t="inlineStr">
        <is>
          <t>RUAS-005</t>
        </is>
      </c>
      <c r="B6" s="3" t="inlineStr">
        <is>
          <t>Day 1</t>
        </is>
      </c>
      <c r="C6" s="3" t="inlineStr">
        <is>
          <t>KWS-06</t>
        </is>
      </c>
      <c r="D6" s="3" t="inlineStr">
        <is>
          <t>Andalan</t>
        </is>
      </c>
      <c r="E6" s="3" t="inlineStr">
        <is>
          <t>2026-08-16</t>
        </is>
      </c>
      <c r="F6" s="3" t="inlineStr">
        <is>
          <t>13:28</t>
        </is>
      </c>
      <c r="G6" s="3" t="inlineStr">
        <is>
          <t>Jl. Kaliurang Km 13</t>
        </is>
      </c>
      <c r="H6" s="3" t="n">
        <v>90</v>
      </c>
      <c r="I6" s="3" t="inlineStr">
        <is>
          <t>Jalan raya</t>
        </is>
      </c>
      <c r="J6" s="3" t="inlineStr">
        <is>
          <t>Ramai</t>
        </is>
      </c>
      <c r="K6" s="3" t="inlineStr">
        <is>
          <t>Tidak ada</t>
        </is>
      </c>
      <c r="L6" s="3" t="n">
        <v>0</v>
      </c>
      <c r="M6" s="3" t="n">
        <v>8</v>
      </c>
      <c r="N6" s="3" t="n">
        <v>0</v>
      </c>
      <c r="O6" s="3" t="inlineStr">
        <is>
          <t>tiang listrik</t>
        </is>
      </c>
      <c r="P6" s="3" t="n">
        <v>7</v>
      </c>
      <c r="Q6" s="3" t="inlineStr">
        <is>
          <t>Tidak</t>
        </is>
      </c>
      <c r="R6" s="3" t="n">
        <v>0</v>
      </c>
      <c r="S6" s="3" t="n">
        <v>0</v>
      </c>
      <c r="T6" s="3" t="n">
        <v>1</v>
      </c>
      <c r="U6" s="3" t="n">
        <v>0</v>
      </c>
      <c r="V6" s="3" t="n">
        <v>0</v>
      </c>
      <c r="W6" s="3" t="inlineStr">
        <is>
          <t>Nihil</t>
        </is>
      </c>
      <c r="X6" s="3" t="n">
        <v>105</v>
      </c>
      <c r="Y6" s="3" t="n">
        <v>1</v>
      </c>
      <c r="Z6" s="3" t="inlineStr">
        <is>
          <t>Sangat banyak lobang, hanya 1 lampu, tidak ada zebra cross padahal sangat ramai</t>
        </is>
      </c>
      <c r="AA6" s="3" t="n">
        <v>2</v>
      </c>
      <c r="AB6" s="3" t="n">
        <v>0.86</v>
      </c>
      <c r="AC6" s="4">
        <f>IF($K6="","",IF($K6="Ada",1,IF($K6="Sebagian",0.5,0)))</f>
        <v/>
      </c>
      <c r="AD6" s="4">
        <f>IF($K6="","",IF($K6="Tidak ada",0,IF($L6="","",MIN($L6/Panduan_W6!$B$9,1))))</f>
        <v/>
      </c>
      <c r="AE6" s="4">
        <f>IF($K6="","",IF($K6="Tidak ada",0,IF(OR($N6="",$H6=""),"",MAX(0,1-$N6/$H6))))</f>
        <v/>
      </c>
      <c r="AF6" s="4">
        <f>IF(OR($K6="",$K6="Tidak ada"),"",IF(OR($P6="",$H6=""),"",EXP(-$P6/$H6*100/Panduan_W6!$B$10)))</f>
        <v/>
      </c>
      <c r="AG6" s="4">
        <f>IF($Q6="","",IF($Q6="Tidak",1,0))</f>
        <v/>
      </c>
      <c r="AH6" s="5">
        <f>IF(ISNUMBER(AC6),Panduan_W6!$B$4,0)+IF(ISNUMBER(AD6),Panduan_W6!$B$5,0)+IF(ISNUMBER(AE6),Panduan_W6!$B$6,0)+IF(ISNUMBER(AF6),Panduan_W6!$B$7,0)+IF(ISNUMBER(AG6),Panduan_W6!$B$8,0)</f>
        <v/>
      </c>
      <c r="AI6" s="4">
        <f>IF(LEFT(AJ6,7)&lt;&gt;"Lengkap","",IF(AJ6="Lengkap (gang)",AG6,(IF(ISNUMBER(AC6),Panduan_W6!$B$4*AC6,0)+IF(ISNUMBER(AD6),Panduan_W6!$B$5*AD6,0)+IF(ISNUMBER(AE6),Panduan_W6!$B$6*AE6,0)+IF(ISNUMBER(AF6),Panduan_W6!$B$7*AF6,0)+IF(ISNUMBER(AG6),Panduan_W6!$B$8*AG6,0))/AH6))</f>
        <v/>
      </c>
      <c r="AJ6" s="6">
        <f>IF(AND(Panduan_W6!$B$11="Ya",$I6="Gang",$J6="Sepi"),IF(ISNUMBER(AG6),"Lengkap (gang)","Belum lengkap"),IF(AND(ISNUMBER(AC6),ISNUMBER(AD6),ISNUMBER(AE6),ISNUMBER(AG6),OR(ISNUMBER(AF6),$K6="Tidak ada")),"Lengkap","Belum lengkap"))</f>
        <v/>
      </c>
    </row>
    <row r="7" ht="15" customHeight="1">
      <c r="A7" s="3" t="inlineStr">
        <is>
          <t>RUAS-006</t>
        </is>
      </c>
      <c r="B7" s="3" t="inlineStr">
        <is>
          <t>Day 1</t>
        </is>
      </c>
      <c r="C7" s="3" t="inlineStr">
        <is>
          <t>KWS-06</t>
        </is>
      </c>
      <c r="D7" s="3" t="inlineStr">
        <is>
          <t>Delon</t>
        </is>
      </c>
      <c r="E7" s="3" t="inlineStr">
        <is>
          <t>2026-08-16</t>
        </is>
      </c>
      <c r="F7" s="3" t="inlineStr">
        <is>
          <t>13:38</t>
        </is>
      </c>
      <c r="G7" s="3" t="inlineStr">
        <is>
          <t>Jl. Kaliurang Km 13</t>
        </is>
      </c>
      <c r="H7" s="3" t="n">
        <v>110</v>
      </c>
      <c r="I7" s="3" t="inlineStr">
        <is>
          <t>Jalan raya</t>
        </is>
      </c>
      <c r="J7" s="3" t="inlineStr">
        <is>
          <t>Ramai</t>
        </is>
      </c>
      <c r="K7" s="3" t="inlineStr">
        <is>
          <t>Tidak ada</t>
        </is>
      </c>
      <c r="L7" s="3" t="n">
        <v>0</v>
      </c>
      <c r="M7" s="3" t="n">
        <v>8</v>
      </c>
      <c r="N7" s="3" t="n">
        <v>0</v>
      </c>
      <c r="O7" s="3" t="inlineStr">
        <is>
          <t>tiang listrik, lampu lalu lintas</t>
        </is>
      </c>
      <c r="P7" s="3" t="n">
        <v>7</v>
      </c>
      <c r="Q7" s="3" t="inlineStr">
        <is>
          <t>Tidak</t>
        </is>
      </c>
      <c r="R7" s="3" t="n">
        <v>0</v>
      </c>
      <c r="S7" s="3" t="n">
        <v>0</v>
      </c>
      <c r="T7" s="3" t="n">
        <v>3</v>
      </c>
      <c r="U7" s="3" t="n">
        <v>0</v>
      </c>
      <c r="V7" s="3" t="n">
        <v>40</v>
      </c>
      <c r="W7" s="3" t="inlineStr">
        <is>
          <t>Nihil</t>
        </is>
      </c>
      <c r="X7" s="3" t="n">
        <v>108</v>
      </c>
      <c r="Y7" s="3" t="n">
        <v>3</v>
      </c>
      <c r="Z7" s="3" t="inlineStr">
        <is>
          <t>jalan berlubang, perlu menyeberang gang karena ada pertigaan, tiang lampu merah menghalangi jalan, tidak ada zebracross</t>
        </is>
      </c>
      <c r="AA7" s="3" t="n">
        <v>2</v>
      </c>
      <c r="AB7" s="3" t="n">
        <v>1.02</v>
      </c>
      <c r="AC7" s="4">
        <f>IF($K7="","",IF($K7="Ada",1,IF($K7="Sebagian",0.5,0)))</f>
        <v/>
      </c>
      <c r="AD7" s="4">
        <f>IF($K7="","",IF($K7="Tidak ada",0,IF($L7="","",MIN($L7/Panduan_W6!$B$9,1))))</f>
        <v/>
      </c>
      <c r="AE7" s="4">
        <f>IF($K7="","",IF($K7="Tidak ada",0,IF(OR($N7="",$H7=""),"",MAX(0,1-$N7/$H7))))</f>
        <v/>
      </c>
      <c r="AF7" s="4">
        <f>IF(OR($K7="",$K7="Tidak ada"),"",IF(OR($P7="",$H7=""),"",EXP(-$P7/$H7*100/Panduan_W6!$B$10)))</f>
        <v/>
      </c>
      <c r="AG7" s="4">
        <f>IF($Q7="","",IF($Q7="Tidak",1,0))</f>
        <v/>
      </c>
      <c r="AH7" s="5">
        <f>IF(ISNUMBER(AC7),Panduan_W6!$B$4,0)+IF(ISNUMBER(AD7),Panduan_W6!$B$5,0)+IF(ISNUMBER(AE7),Panduan_W6!$B$6,0)+IF(ISNUMBER(AF7),Panduan_W6!$B$7,0)+IF(ISNUMBER(AG7),Panduan_W6!$B$8,0)</f>
        <v/>
      </c>
      <c r="AI7" s="4">
        <f>IF(LEFT(AJ7,7)&lt;&gt;"Lengkap","",IF(AJ7="Lengkap (gang)",AG7,(IF(ISNUMBER(AC7),Panduan_W6!$B$4*AC7,0)+IF(ISNUMBER(AD7),Panduan_W6!$B$5*AD7,0)+IF(ISNUMBER(AE7),Panduan_W6!$B$6*AE7,0)+IF(ISNUMBER(AF7),Panduan_W6!$B$7*AF7,0)+IF(ISNUMBER(AG7),Panduan_W6!$B$8*AG7,0))/AH7))</f>
        <v/>
      </c>
      <c r="AJ7" s="6">
        <f>IF(AND(Panduan_W6!$B$11="Ya",$I7="Gang",$J7="Sepi"),IF(ISNUMBER(AG7),"Lengkap (gang)","Belum lengkap"),IF(AND(ISNUMBER(AC7),ISNUMBER(AD7),ISNUMBER(AE7),ISNUMBER(AG7),OR(ISNUMBER(AF7),$K7="Tidak ada")),"Lengkap","Belum lengkap"))</f>
        <v/>
      </c>
    </row>
    <row r="8" ht="15" customHeight="1">
      <c r="A8" s="3" t="inlineStr">
        <is>
          <t>RUAS-007</t>
        </is>
      </c>
      <c r="B8" s="3" t="inlineStr">
        <is>
          <t>Day 1</t>
        </is>
      </c>
      <c r="C8" s="3" t="inlineStr">
        <is>
          <t>KWS-06</t>
        </is>
      </c>
      <c r="D8" s="3" t="inlineStr">
        <is>
          <t>Delon</t>
        </is>
      </c>
      <c r="E8" s="3" t="inlineStr">
        <is>
          <t>2026-08-16</t>
        </is>
      </c>
      <c r="F8" s="3" t="inlineStr">
        <is>
          <t>13:49</t>
        </is>
      </c>
      <c r="G8" s="3" t="inlineStr">
        <is>
          <t>Jl. Kaliurang Km 13</t>
        </is>
      </c>
      <c r="H8" s="3" t="n">
        <v>140</v>
      </c>
      <c r="I8" s="3" t="inlineStr">
        <is>
          <t>Jalan raya</t>
        </is>
      </c>
      <c r="J8" s="3" t="inlineStr">
        <is>
          <t>Ramai</t>
        </is>
      </c>
      <c r="K8" s="3" t="inlineStr">
        <is>
          <t>Tidak ada</t>
        </is>
      </c>
      <c r="L8" s="3" t="n">
        <v>0</v>
      </c>
      <c r="M8" s="3" t="n">
        <v>8</v>
      </c>
      <c r="N8" s="3" t="n">
        <v>0</v>
      </c>
      <c r="O8" s="3" t="inlineStr">
        <is>
          <t>tidak ada</t>
        </is>
      </c>
      <c r="P8" s="3" t="n">
        <v>1</v>
      </c>
      <c r="Q8" s="3" t="inlineStr">
        <is>
          <t>Tidak</t>
        </is>
      </c>
      <c r="R8" s="3" t="n">
        <v>0</v>
      </c>
      <c r="S8" s="3" t="n">
        <v>0</v>
      </c>
      <c r="T8" s="3" t="n">
        <v>2</v>
      </c>
      <c r="U8" s="3" t="n">
        <v>0</v>
      </c>
      <c r="V8" s="3" t="n">
        <v>57</v>
      </c>
      <c r="W8" s="3" t="inlineStr">
        <is>
          <t>Nihil</t>
        </is>
      </c>
      <c r="X8" s="3" t="n">
        <v>90</v>
      </c>
      <c r="Y8" s="3" t="n">
        <v>1</v>
      </c>
      <c r="Z8" s="3" t="inlineStr">
        <is>
          <t>ruas pejalan kaki beton, tidak berlubang  tidak ada zebra cross, tidak ada pohon, area pejalan kaki cukup lebar 2-3 orang</t>
        </is>
      </c>
      <c r="AA8" s="3" t="n">
        <v>2</v>
      </c>
      <c r="AB8" s="3" t="n">
        <v>1.56</v>
      </c>
      <c r="AC8" s="4">
        <f>IF($K8="","",IF($K8="Ada",1,IF($K8="Sebagian",0.5,0)))</f>
        <v/>
      </c>
      <c r="AD8" s="4">
        <f>IF($K8="","",IF($K8="Tidak ada",0,IF($L8="","",MIN($L8/Panduan_W6!$B$9,1))))</f>
        <v/>
      </c>
      <c r="AE8" s="4">
        <f>IF($K8="","",IF($K8="Tidak ada",0,IF(OR($N8="",$H8=""),"",MAX(0,1-$N8/$H8))))</f>
        <v/>
      </c>
      <c r="AF8" s="4">
        <f>IF(OR($K8="",$K8="Tidak ada"),"",IF(OR($P8="",$H8=""),"",EXP(-$P8/$H8*100/Panduan_W6!$B$10)))</f>
        <v/>
      </c>
      <c r="AG8" s="4">
        <f>IF($Q8="","",IF($Q8="Tidak",1,0))</f>
        <v/>
      </c>
      <c r="AH8" s="5">
        <f>IF(ISNUMBER(AC8),Panduan_W6!$B$4,0)+IF(ISNUMBER(AD8),Panduan_W6!$B$5,0)+IF(ISNUMBER(AE8),Panduan_W6!$B$6,0)+IF(ISNUMBER(AF8),Panduan_W6!$B$7,0)+IF(ISNUMBER(AG8),Panduan_W6!$B$8,0)</f>
        <v/>
      </c>
      <c r="AI8" s="4">
        <f>IF(LEFT(AJ8,7)&lt;&gt;"Lengkap","",IF(AJ8="Lengkap (gang)",AG8,(IF(ISNUMBER(AC8),Panduan_W6!$B$4*AC8,0)+IF(ISNUMBER(AD8),Panduan_W6!$B$5*AD8,0)+IF(ISNUMBER(AE8),Panduan_W6!$B$6*AE8,0)+IF(ISNUMBER(AF8),Panduan_W6!$B$7*AF8,0)+IF(ISNUMBER(AG8),Panduan_W6!$B$8*AG8,0))/AH8))</f>
        <v/>
      </c>
      <c r="AJ8" s="6">
        <f>IF(AND(Panduan_W6!$B$11="Ya",$I8="Gang",$J8="Sepi"),IF(ISNUMBER(AG8),"Lengkap (gang)","Belum lengkap"),IF(AND(ISNUMBER(AC8),ISNUMBER(AD8),ISNUMBER(AE8),ISNUMBER(AG8),OR(ISNUMBER(AF8),$K8="Tidak ada")),"Lengkap","Belum lengkap"))</f>
        <v/>
      </c>
    </row>
    <row r="9" ht="15" customHeight="1">
      <c r="A9" s="3" t="inlineStr">
        <is>
          <t>RUAS-008</t>
        </is>
      </c>
      <c r="B9" s="3" t="inlineStr">
        <is>
          <t>Day 1</t>
        </is>
      </c>
      <c r="C9" s="3" t="inlineStr">
        <is>
          <t>KWS-11</t>
        </is>
      </c>
      <c r="D9" s="3" t="inlineStr">
        <is>
          <t>Andalan</t>
        </is>
      </c>
      <c r="E9" s="3" t="inlineStr">
        <is>
          <t>2026-08-16</t>
        </is>
      </c>
      <c r="F9" s="3" t="inlineStr">
        <is>
          <t>15:28</t>
        </is>
      </c>
      <c r="G9" s="3" t="inlineStr">
        <is>
          <t>Gg. Pandega Rini I, Manggung, Caturtunggal</t>
        </is>
      </c>
      <c r="H9" s="3" t="n">
        <v>98</v>
      </c>
      <c r="I9" s="3" t="inlineStr">
        <is>
          <t>Gang</t>
        </is>
      </c>
      <c r="J9" s="3" t="inlineStr">
        <is>
          <t>Sepi</t>
        </is>
      </c>
      <c r="K9" s="3" t="inlineStr">
        <is>
          <t>Tidak ada</t>
        </is>
      </c>
      <c r="L9" s="3" t="n">
        <v>0</v>
      </c>
      <c r="M9" s="3" t="n">
        <v>3.3</v>
      </c>
      <c r="N9" s="3" t="n">
        <v>0</v>
      </c>
      <c r="O9" s="3" t="inlineStr">
        <is>
          <t>tidak ada</t>
        </is>
      </c>
      <c r="P9" s="3" t="n">
        <v>0</v>
      </c>
      <c r="Q9" s="3" t="inlineStr">
        <is>
          <t>Tidak</t>
        </is>
      </c>
      <c r="R9" s="3" t="n">
        <v>0</v>
      </c>
      <c r="S9" s="3" t="n">
        <v>0</v>
      </c>
      <c r="T9" s="3" t="n">
        <v>5</v>
      </c>
      <c r="U9" s="3" t="n">
        <v>1</v>
      </c>
      <c r="V9" s="3" t="n">
        <v>21</v>
      </c>
      <c r="W9" s="3" t="inlineStr">
        <is>
          <t>25 sampai 50 persen</t>
        </is>
      </c>
      <c r="X9" s="3" t="n">
        <v>90</v>
      </c>
      <c r="Y9" s="3" t="n">
        <v>1</v>
      </c>
      <c r="Z9" s="3" t="inlineStr">
        <is>
          <t>Jalan kompleks perumahan, keluarnya tepat di Ringroad Utara. Jalan cukup oke, portal dibuka jam 5 sampai 22</t>
        </is>
      </c>
      <c r="AA9" s="3" t="n">
        <v>1</v>
      </c>
      <c r="AB9" s="3" t="n">
        <v>1.09</v>
      </c>
      <c r="AC9" s="4">
        <f>IF($K9="","",IF($K9="Ada",1,IF($K9="Sebagian",0.5,0)))</f>
        <v/>
      </c>
      <c r="AD9" s="4">
        <f>IF($K9="","",IF($K9="Tidak ada",0,IF($L9="","",MIN($L9/Panduan_W6!$B$9,1))))</f>
        <v/>
      </c>
      <c r="AE9" s="4">
        <f>IF($K9="","",IF($K9="Tidak ada",0,IF(OR($N9="",$H9=""),"",MAX(0,1-$N9/$H9))))</f>
        <v/>
      </c>
      <c r="AF9" s="4">
        <f>IF(OR($K9="",$K9="Tidak ada"),"",IF(OR($P9="",$H9=""),"",EXP(-$P9/$H9*100/Panduan_W6!$B$10)))</f>
        <v/>
      </c>
      <c r="AG9" s="4">
        <f>IF($Q9="","",IF($Q9="Tidak",1,0))</f>
        <v/>
      </c>
      <c r="AH9" s="5">
        <f>IF(ISNUMBER(AC9),Panduan_W6!$B$4,0)+IF(ISNUMBER(AD9),Panduan_W6!$B$5,0)+IF(ISNUMBER(AE9),Panduan_W6!$B$6,0)+IF(ISNUMBER(AF9),Panduan_W6!$B$7,0)+IF(ISNUMBER(AG9),Panduan_W6!$B$8,0)</f>
        <v/>
      </c>
      <c r="AI9" s="4">
        <f>IF(LEFT(AJ9,7)&lt;&gt;"Lengkap","",IF(AJ9="Lengkap (gang)",AG9,(IF(ISNUMBER(AC9),Panduan_W6!$B$4*AC9,0)+IF(ISNUMBER(AD9),Panduan_W6!$B$5*AD9,0)+IF(ISNUMBER(AE9),Panduan_W6!$B$6*AE9,0)+IF(ISNUMBER(AF9),Panduan_W6!$B$7*AF9,0)+IF(ISNUMBER(AG9),Panduan_W6!$B$8*AG9,0))/AH9))</f>
        <v/>
      </c>
      <c r="AJ9" s="6">
        <f>IF(AND(Panduan_W6!$B$11="Ya",$I9="Gang",$J9="Sepi"),IF(ISNUMBER(AG9),"Lengkap (gang)","Belum lengkap"),IF(AND(ISNUMBER(AC9),ISNUMBER(AD9),ISNUMBER(AE9),ISNUMBER(AG9),OR(ISNUMBER(AF9),$K9="Tidak ada")),"Lengkap","Belum lengkap"))</f>
        <v/>
      </c>
    </row>
    <row r="10" ht="15" customHeight="1">
      <c r="A10" s="3" t="inlineStr">
        <is>
          <t>RUAS-009</t>
        </is>
      </c>
      <c r="B10" s="3" t="inlineStr">
        <is>
          <t>Day 1</t>
        </is>
      </c>
      <c r="C10" s="3" t="inlineStr">
        <is>
          <t>KWS-11</t>
        </is>
      </c>
      <c r="D10" s="3" t="inlineStr">
        <is>
          <t>Theo</t>
        </is>
      </c>
      <c r="E10" s="3" t="inlineStr">
        <is>
          <t>2026-08-16</t>
        </is>
      </c>
      <c r="F10" s="3" t="inlineStr">
        <is>
          <t>15:42</t>
        </is>
      </c>
      <c r="G10" s="3" t="inlineStr">
        <is>
          <t>Jl. Ringroad Utara</t>
        </is>
      </c>
      <c r="H10" s="3" t="n">
        <v>165.64</v>
      </c>
      <c r="I10" s="3" t="inlineStr">
        <is>
          <t>Jalan raya</t>
        </is>
      </c>
      <c r="J10" s="3" t="inlineStr">
        <is>
          <t>Sedang</t>
        </is>
      </c>
      <c r="K10" s="3" t="inlineStr">
        <is>
          <t>Ada</t>
        </is>
      </c>
      <c r="L10" s="3" t="n">
        <v>1.2</v>
      </c>
      <c r="M10" s="3" t="n">
        <v>5.25</v>
      </c>
      <c r="N10" s="3" t="n">
        <v>100.98</v>
      </c>
      <c r="O10" s="3" t="inlineStr">
        <is>
          <t>tidak ada</t>
        </is>
      </c>
      <c r="P10" s="3" t="n">
        <v>0</v>
      </c>
      <c r="Q10" s="3" t="inlineStr">
        <is>
          <t>Ya</t>
        </is>
      </c>
      <c r="R10" s="3" t="n">
        <v>0</v>
      </c>
      <c r="S10" s="3" t="n">
        <v>0</v>
      </c>
      <c r="T10" s="3" t="n">
        <v>5</v>
      </c>
      <c r="U10" s="3" t="n">
        <v>0</v>
      </c>
      <c r="V10" s="3" t="n">
        <v>19.37</v>
      </c>
      <c r="W10" s="3" t="inlineStr">
        <is>
          <t>Nihil</t>
        </is>
      </c>
      <c r="X10" s="3" t="n">
        <v>150</v>
      </c>
      <c r="Y10" s="3" t="n"/>
      <c r="Z10" s="3" t="inlineStr">
        <is>
          <t>jalanya dah bagus hanya beberapa ada penutup got yang berbahaya karena tidak rata</t>
        </is>
      </c>
      <c r="AA10" s="3" t="n">
        <v>2</v>
      </c>
      <c r="AB10" s="3" t="n">
        <v>1.1</v>
      </c>
      <c r="AC10" s="4">
        <f>IF($K10="","",IF($K10="Ada",1,IF($K10="Sebagian",0.5,0)))</f>
        <v/>
      </c>
      <c r="AD10" s="4">
        <f>IF($K10="","",IF($K10="Tidak ada",0,IF($L10="","",MIN($L10/Panduan_W6!$B$9,1))))</f>
        <v/>
      </c>
      <c r="AE10" s="4">
        <f>IF($K10="","",IF($K10="Tidak ada",0,IF(OR($N10="",$H10=""),"",MAX(0,1-$N10/$H10))))</f>
        <v/>
      </c>
      <c r="AF10" s="4">
        <f>IF(OR($K10="",$K10="Tidak ada"),"",IF(OR($P10="",$H10=""),"",EXP(-$P10/$H10*100/Panduan_W6!$B$10)))</f>
        <v/>
      </c>
      <c r="AG10" s="4">
        <f>IF($Q10="","",IF($Q10="Tidak",1,0))</f>
        <v/>
      </c>
      <c r="AH10" s="5">
        <f>IF(ISNUMBER(AC10),Panduan_W6!$B$4,0)+IF(ISNUMBER(AD10),Panduan_W6!$B$5,0)+IF(ISNUMBER(AE10),Panduan_W6!$B$6,0)+IF(ISNUMBER(AF10),Panduan_W6!$B$7,0)+IF(ISNUMBER(AG10),Panduan_W6!$B$8,0)</f>
        <v/>
      </c>
      <c r="AI10" s="4">
        <f>IF(LEFT(AJ10,7)&lt;&gt;"Lengkap","",IF(AJ10="Lengkap (gang)",AG10,(IF(ISNUMBER(AC10),Panduan_W6!$B$4*AC10,0)+IF(ISNUMBER(AD10),Panduan_W6!$B$5*AD10,0)+IF(ISNUMBER(AE10),Panduan_W6!$B$6*AE10,0)+IF(ISNUMBER(AF10),Panduan_W6!$B$7*AF10,0)+IF(ISNUMBER(AG10),Panduan_W6!$B$8*AG10,0))/AH10))</f>
        <v/>
      </c>
      <c r="AJ10" s="6">
        <f>IF(AND(Panduan_W6!$B$11="Ya",$I10="Gang",$J10="Sepi"),IF(ISNUMBER(AG10),"Lengkap (gang)","Belum lengkap"),IF(AND(ISNUMBER(AC10),ISNUMBER(AD10),ISNUMBER(AE10),ISNUMBER(AG10),OR(ISNUMBER(AF10),$K10="Tidak ada")),"Lengkap","Belum lengkap"))</f>
        <v/>
      </c>
    </row>
    <row r="11" ht="15" customHeight="1">
      <c r="A11" s="3" t="inlineStr">
        <is>
          <t>RUAS-010</t>
        </is>
      </c>
      <c r="B11" s="3" t="inlineStr">
        <is>
          <t>Day 1</t>
        </is>
      </c>
      <c r="C11" s="3" t="inlineStr">
        <is>
          <t>KWS-04</t>
        </is>
      </c>
      <c r="D11" s="3" t="inlineStr">
        <is>
          <t>Delon</t>
        </is>
      </c>
      <c r="E11" s="3" t="inlineStr">
        <is>
          <t>2026-08-16</t>
        </is>
      </c>
      <c r="F11" s="3" t="inlineStr">
        <is>
          <t>15:52</t>
        </is>
      </c>
      <c r="G11" s="3" t="inlineStr">
        <is>
          <t>Jl. Raya Tajem</t>
        </is>
      </c>
      <c r="H11" s="3" t="n">
        <v>140</v>
      </c>
      <c r="I11" s="3" t="inlineStr">
        <is>
          <t>Jalan raya</t>
        </is>
      </c>
      <c r="J11" s="3" t="inlineStr">
        <is>
          <t>Ramai</t>
        </is>
      </c>
      <c r="K11" s="3" t="inlineStr">
        <is>
          <t>Ada</t>
        </is>
      </c>
      <c r="L11" s="3" t="n">
        <v>1</v>
      </c>
      <c r="M11" s="3" t="n">
        <v>10</v>
      </c>
      <c r="N11" s="3" t="n">
        <v>0.5</v>
      </c>
      <c r="O11" s="3" t="inlineStr">
        <is>
          <t>mobil parkir</t>
        </is>
      </c>
      <c r="P11" s="3" t="n">
        <v>1</v>
      </c>
      <c r="Q11" s="3" t="inlineStr">
        <is>
          <t>Ya</t>
        </is>
      </c>
      <c r="R11" s="3" t="n">
        <v>0</v>
      </c>
      <c r="S11" s="3" t="n">
        <v>0</v>
      </c>
      <c r="T11" s="3" t="n">
        <v>0</v>
      </c>
      <c r="U11" s="3" t="n">
        <v>0</v>
      </c>
      <c r="V11" s="3" t="n">
        <v>0</v>
      </c>
      <c r="W11" s="3" t="inlineStr">
        <is>
          <t>Nihil</t>
        </is>
      </c>
      <c r="X11" s="3" t="n">
        <v>124</v>
      </c>
      <c r="Y11" s="3" t="n">
        <v>2</v>
      </c>
      <c r="Z11" s="3" t="inlineStr">
        <is>
          <t>Ruas jalan di Jl. Raya Tajem sebenarnya memiliki lampu di sisi timurnya, kami melakukan survei ruas jalan di sisi barat jalan. Lampu jalan di sisi timur tidak memiliki cukup penerangan hingga ruas jalan barat</t>
        </is>
      </c>
      <c r="AA11" s="3" t="n">
        <v>4</v>
      </c>
      <c r="AB11" s="3" t="n">
        <v>1.13</v>
      </c>
      <c r="AC11" s="4">
        <f>IF($K11="","",IF($K11="Ada",1,IF($K11="Sebagian",0.5,0)))</f>
        <v/>
      </c>
      <c r="AD11" s="4">
        <f>IF($K11="","",IF($K11="Tidak ada",0,IF($L11="","",MIN($L11/Panduan_W6!$B$9,1))))</f>
        <v/>
      </c>
      <c r="AE11" s="4">
        <f>IF($K11="","",IF($K11="Tidak ada",0,IF(OR($N11="",$H11=""),"",MAX(0,1-$N11/$H11))))</f>
        <v/>
      </c>
      <c r="AF11" s="4">
        <f>IF(OR($K11="",$K11="Tidak ada"),"",IF(OR($P11="",$H11=""),"",EXP(-$P11/$H11*100/Panduan_W6!$B$10)))</f>
        <v/>
      </c>
      <c r="AG11" s="4">
        <f>IF($Q11="","",IF($Q11="Tidak",1,0))</f>
        <v/>
      </c>
      <c r="AH11" s="5">
        <f>IF(ISNUMBER(AC11),Panduan_W6!$B$4,0)+IF(ISNUMBER(AD11),Panduan_W6!$B$5,0)+IF(ISNUMBER(AE11),Panduan_W6!$B$6,0)+IF(ISNUMBER(AF11),Panduan_W6!$B$7,0)+IF(ISNUMBER(AG11),Panduan_W6!$B$8,0)</f>
        <v/>
      </c>
      <c r="AI11" s="4">
        <f>IF(LEFT(AJ11,7)&lt;&gt;"Lengkap","",IF(AJ11="Lengkap (gang)",AG11,(IF(ISNUMBER(AC11),Panduan_W6!$B$4*AC11,0)+IF(ISNUMBER(AD11),Panduan_W6!$B$5*AD11,0)+IF(ISNUMBER(AE11),Panduan_W6!$B$6*AE11,0)+IF(ISNUMBER(AF11),Panduan_W6!$B$7*AF11,0)+IF(ISNUMBER(AG11),Panduan_W6!$B$8*AG11,0))/AH11))</f>
        <v/>
      </c>
      <c r="AJ11" s="6">
        <f>IF(AND(Panduan_W6!$B$11="Ya",$I11="Gang",$J11="Sepi"),IF(ISNUMBER(AG11),"Lengkap (gang)","Belum lengkap"),IF(AND(ISNUMBER(AC11),ISNUMBER(AD11),ISNUMBER(AE11),ISNUMBER(AG11),OR(ISNUMBER(AF11),$K11="Tidak ada")),"Lengkap","Belum lengkap"))</f>
        <v/>
      </c>
    </row>
    <row r="12" ht="15" customHeight="1">
      <c r="A12" s="3" t="inlineStr">
        <is>
          <t>RUAS-011</t>
        </is>
      </c>
      <c r="B12" s="3" t="inlineStr">
        <is>
          <t>Day 1</t>
        </is>
      </c>
      <c r="C12" s="3" t="inlineStr">
        <is>
          <t>KWS-11</t>
        </is>
      </c>
      <c r="D12" s="3" t="inlineStr">
        <is>
          <t>Theo</t>
        </is>
      </c>
      <c r="E12" s="3" t="inlineStr">
        <is>
          <t>2026-08-16</t>
        </is>
      </c>
      <c r="F12" s="3" t="n"/>
      <c r="G12" s="3" t="inlineStr">
        <is>
          <t>JI. Pandega Maharsi</t>
        </is>
      </c>
      <c r="H12" s="3" t="n">
        <v>142.51</v>
      </c>
      <c r="I12" s="3" t="inlineStr">
        <is>
          <t>Jalan kecil</t>
        </is>
      </c>
      <c r="J12" s="3" t="inlineStr">
        <is>
          <t>Sepi</t>
        </is>
      </c>
      <c r="K12" s="3" t="inlineStr">
        <is>
          <t>Tidak ada</t>
        </is>
      </c>
      <c r="L12" s="3" t="n">
        <v>0</v>
      </c>
      <c r="M12" s="3" t="n">
        <v>4.2</v>
      </c>
      <c r="N12" s="3" t="n">
        <v>0</v>
      </c>
      <c r="O12" s="3" t="inlineStr">
        <is>
          <t>tidak ada</t>
        </is>
      </c>
      <c r="P12" s="3" t="n">
        <v>0</v>
      </c>
      <c r="Q12" s="3" t="inlineStr">
        <is>
          <t>Tidak</t>
        </is>
      </c>
      <c r="R12" s="3" t="n">
        <v>0</v>
      </c>
      <c r="S12" s="3" t="n">
        <v>0</v>
      </c>
      <c r="T12" s="3" t="n">
        <v>6</v>
      </c>
      <c r="U12" s="3" t="n">
        <v>0</v>
      </c>
      <c r="V12" s="3" t="n">
        <v>22.5</v>
      </c>
      <c r="W12" s="3" t="inlineStr">
        <is>
          <t>25 sampai 50 persen</t>
        </is>
      </c>
      <c r="X12" s="3" t="n">
        <v>245</v>
      </c>
      <c r="Y12" s="3" t="n">
        <v>1</v>
      </c>
      <c r="Z12" s="3" t="inlineStr">
        <is>
          <t>jalan udah bagus ada banyak polisi tidur yang sudah retak</t>
        </is>
      </c>
      <c r="AA12" s="3" t="n">
        <v>1.5</v>
      </c>
      <c r="AB12" s="3" t="n">
        <v>0.58</v>
      </c>
      <c r="AC12" s="4">
        <f>IF($K12="","",IF($K12="Ada",1,IF($K12="Sebagian",0.5,0)))</f>
        <v/>
      </c>
      <c r="AD12" s="4">
        <f>IF($K12="","",IF($K12="Tidak ada",0,IF($L12="","",MIN($L12/Panduan_W6!$B$9,1))))</f>
        <v/>
      </c>
      <c r="AE12" s="4">
        <f>IF($K12="","",IF($K12="Tidak ada",0,IF(OR($N12="",$H12=""),"",MAX(0,1-$N12/$H12))))</f>
        <v/>
      </c>
      <c r="AF12" s="4">
        <f>IF(OR($K12="",$K12="Tidak ada"),"",IF(OR($P12="",$H12=""),"",EXP(-$P12/$H12*100/Panduan_W6!$B$10)))</f>
        <v/>
      </c>
      <c r="AG12" s="4">
        <f>IF($Q12="","",IF($Q12="Tidak",1,0))</f>
        <v/>
      </c>
      <c r="AH12" s="5">
        <f>IF(ISNUMBER(AC12),Panduan_W6!$B$4,0)+IF(ISNUMBER(AD12),Panduan_W6!$B$5,0)+IF(ISNUMBER(AE12),Panduan_W6!$B$6,0)+IF(ISNUMBER(AF12),Panduan_W6!$B$7,0)+IF(ISNUMBER(AG12),Panduan_W6!$B$8,0)</f>
        <v/>
      </c>
      <c r="AI12" s="4">
        <f>IF(LEFT(AJ12,7)&lt;&gt;"Lengkap","",IF(AJ12="Lengkap (gang)",AG12,(IF(ISNUMBER(AC12),Panduan_W6!$B$4*AC12,0)+IF(ISNUMBER(AD12),Panduan_W6!$B$5*AD12,0)+IF(ISNUMBER(AE12),Panduan_W6!$B$6*AE12,0)+IF(ISNUMBER(AF12),Panduan_W6!$B$7*AF12,0)+IF(ISNUMBER(AG12),Panduan_W6!$B$8*AG12,0))/AH12))</f>
        <v/>
      </c>
      <c r="AJ12" s="6">
        <f>IF(AND(Panduan_W6!$B$11="Ya",$I12="Gang",$J12="Sepi"),IF(ISNUMBER(AG12),"Lengkap (gang)","Belum lengkap"),IF(AND(ISNUMBER(AC12),ISNUMBER(AD12),ISNUMBER(AE12),ISNUMBER(AG12),OR(ISNUMBER(AF12),$K12="Tidak ada")),"Lengkap","Belum lengkap"))</f>
        <v/>
      </c>
    </row>
    <row r="13" ht="15" customHeight="1">
      <c r="A13" s="3" t="inlineStr">
        <is>
          <t>RUAS-012</t>
        </is>
      </c>
      <c r="B13" s="3" t="inlineStr">
        <is>
          <t>Day 1</t>
        </is>
      </c>
      <c r="C13" s="3" t="inlineStr">
        <is>
          <t>KWS-04</t>
        </is>
      </c>
      <c r="D13" s="3" t="inlineStr">
        <is>
          <t>Devon</t>
        </is>
      </c>
      <c r="E13" s="3" t="inlineStr">
        <is>
          <t>2026-08-16</t>
        </is>
      </c>
      <c r="F13" s="3" t="inlineStr">
        <is>
          <t>16:07</t>
        </is>
      </c>
      <c r="G13" s="3" t="inlineStr">
        <is>
          <t>Jl. Raya Tajem</t>
        </is>
      </c>
      <c r="H13" s="3" t="n">
        <v>130</v>
      </c>
      <c r="I13" s="3" t="inlineStr">
        <is>
          <t>Jalan raya</t>
        </is>
      </c>
      <c r="J13" s="3" t="inlineStr">
        <is>
          <t>Ramai</t>
        </is>
      </c>
      <c r="K13" s="3" t="inlineStr">
        <is>
          <t>Ada</t>
        </is>
      </c>
      <c r="L13" s="3" t="n">
        <v>1</v>
      </c>
      <c r="M13" s="3" t="n">
        <v>10</v>
      </c>
      <c r="N13" s="3" t="n">
        <v>3</v>
      </c>
      <c r="O13" s="3" t="inlineStr">
        <is>
          <t>mobil parkir</t>
        </is>
      </c>
      <c r="P13" s="3" t="n">
        <v>1</v>
      </c>
      <c r="Q13" s="3" t="inlineStr">
        <is>
          <t>Ya</t>
        </is>
      </c>
      <c r="R13" s="3" t="n">
        <v>0</v>
      </c>
      <c r="S13" s="3" t="n">
        <v>0</v>
      </c>
      <c r="T13" s="3" t="n">
        <v>0</v>
      </c>
      <c r="U13" s="3" t="n">
        <v>0</v>
      </c>
      <c r="V13" s="3" t="n">
        <v>0</v>
      </c>
      <c r="W13" s="3" t="inlineStr">
        <is>
          <t>Nihil</t>
        </is>
      </c>
      <c r="X13" s="3" t="n">
        <v>120</v>
      </c>
      <c r="Y13" s="3" t="n">
        <v>1</v>
      </c>
      <c r="Z13" s="3" t="n"/>
      <c r="AA13" s="3" t="n">
        <v>4</v>
      </c>
      <c r="AB13" s="3" t="n">
        <v>1.08</v>
      </c>
      <c r="AC13" s="4">
        <f>IF($K13="","",IF($K13="Ada",1,IF($K13="Sebagian",0.5,0)))</f>
        <v/>
      </c>
      <c r="AD13" s="4">
        <f>IF($K13="","",IF($K13="Tidak ada",0,IF($L13="","",MIN($L13/Panduan_W6!$B$9,1))))</f>
        <v/>
      </c>
      <c r="AE13" s="4">
        <f>IF($K13="","",IF($K13="Tidak ada",0,IF(OR($N13="",$H13=""),"",MAX(0,1-$N13/$H13))))</f>
        <v/>
      </c>
      <c r="AF13" s="4">
        <f>IF(OR($K13="",$K13="Tidak ada"),"",IF(OR($P13="",$H13=""),"",EXP(-$P13/$H13*100/Panduan_W6!$B$10)))</f>
        <v/>
      </c>
      <c r="AG13" s="4">
        <f>IF($Q13="","",IF($Q13="Tidak",1,0))</f>
        <v/>
      </c>
      <c r="AH13" s="5">
        <f>IF(ISNUMBER(AC13),Panduan_W6!$B$4,0)+IF(ISNUMBER(AD13),Panduan_W6!$B$5,0)+IF(ISNUMBER(AE13),Panduan_W6!$B$6,0)+IF(ISNUMBER(AF13),Panduan_W6!$B$7,0)+IF(ISNUMBER(AG13),Panduan_W6!$B$8,0)</f>
        <v/>
      </c>
      <c r="AI13" s="4">
        <f>IF(LEFT(AJ13,7)&lt;&gt;"Lengkap","",IF(AJ13="Lengkap (gang)",AG13,(IF(ISNUMBER(AC13),Panduan_W6!$B$4*AC13,0)+IF(ISNUMBER(AD13),Panduan_W6!$B$5*AD13,0)+IF(ISNUMBER(AE13),Panduan_W6!$B$6*AE13,0)+IF(ISNUMBER(AF13),Panduan_W6!$B$7*AF13,0)+IF(ISNUMBER(AG13),Panduan_W6!$B$8*AG13,0))/AH13))</f>
        <v/>
      </c>
      <c r="AJ13" s="6">
        <f>IF(AND(Panduan_W6!$B$11="Ya",$I13="Gang",$J13="Sepi"),IF(ISNUMBER(AG13),"Lengkap (gang)","Belum lengkap"),IF(AND(ISNUMBER(AC13),ISNUMBER(AD13),ISNUMBER(AE13),ISNUMBER(AG13),OR(ISNUMBER(AF13),$K13="Tidak ada")),"Lengkap","Belum lengkap"))</f>
        <v/>
      </c>
    </row>
    <row r="14" ht="15" customHeight="1">
      <c r="A14" s="3" t="inlineStr">
        <is>
          <t>RUAS-013</t>
        </is>
      </c>
      <c r="B14" s="3" t="inlineStr">
        <is>
          <t>Day 1</t>
        </is>
      </c>
      <c r="C14" s="3" t="inlineStr">
        <is>
          <t>KWS-11</t>
        </is>
      </c>
      <c r="D14" s="3" t="inlineStr">
        <is>
          <t>Andalan</t>
        </is>
      </c>
      <c r="E14" s="3" t="inlineStr">
        <is>
          <t>2026-08-16</t>
        </is>
      </c>
      <c r="F14" s="3" t="inlineStr">
        <is>
          <t>16:09</t>
        </is>
      </c>
      <c r="G14" s="3" t="inlineStr">
        <is>
          <t>Jl. Kaliurang Km 6</t>
        </is>
      </c>
      <c r="H14" s="3" t="n">
        <v>220</v>
      </c>
      <c r="I14" s="3" t="inlineStr">
        <is>
          <t>Jalan raya</t>
        </is>
      </c>
      <c r="J14" s="3" t="inlineStr">
        <is>
          <t>Ramai</t>
        </is>
      </c>
      <c r="K14" s="3" t="inlineStr">
        <is>
          <t>Tidak ada</t>
        </is>
      </c>
      <c r="L14" s="3" t="n">
        <v>0</v>
      </c>
      <c r="M14" s="3" t="n">
        <v>9</v>
      </c>
      <c r="N14" s="3" t="n">
        <v>0</v>
      </c>
      <c r="O14" s="3" t="inlineStr">
        <is>
          <t>tidak ada</t>
        </is>
      </c>
      <c r="P14" s="3" t="n">
        <v>0</v>
      </c>
      <c r="Q14" s="3" t="inlineStr">
        <is>
          <t>Tidak</t>
        </is>
      </c>
      <c r="R14" s="3" t="n">
        <v>0</v>
      </c>
      <c r="S14" s="3" t="n">
        <v>0</v>
      </c>
      <c r="T14" s="3" t="n">
        <v>4</v>
      </c>
      <c r="U14" s="3" t="n">
        <v>0</v>
      </c>
      <c r="V14" s="3" t="n">
        <v>110</v>
      </c>
      <c r="W14" s="3" t="inlineStr">
        <is>
          <t>Nihil</t>
        </is>
      </c>
      <c r="X14" s="3" t="n">
        <v>200</v>
      </c>
      <c r="Y14" s="3" t="n">
        <v>2</v>
      </c>
      <c r="Z14" s="3" t="inlineStr">
        <is>
          <t>Jalan paling rame sejauh ini. Nyebrang sangat sulit. Berdebu krn byk kendaraanBanyak sekali usaha di kedua sisi jalan, seperti kuliner, kesehatan, bengkel, dsb.</t>
        </is>
      </c>
      <c r="AA14" s="3" t="n">
        <v>4</v>
      </c>
      <c r="AB14" s="3" t="n">
        <v>1.1</v>
      </c>
      <c r="AC14" s="4">
        <f>IF($K14="","",IF($K14="Ada",1,IF($K14="Sebagian",0.5,0)))</f>
        <v/>
      </c>
      <c r="AD14" s="4">
        <f>IF($K14="","",IF($K14="Tidak ada",0,IF($L14="","",MIN($L14/Panduan_W6!$B$9,1))))</f>
        <v/>
      </c>
      <c r="AE14" s="4">
        <f>IF($K14="","",IF($K14="Tidak ada",0,IF(OR($N14="",$H14=""),"",MAX(0,1-$N14/$H14))))</f>
        <v/>
      </c>
      <c r="AF14" s="4">
        <f>IF(OR($K14="",$K14="Tidak ada"),"",IF(OR($P14="",$H14=""),"",EXP(-$P14/$H14*100/Panduan_W6!$B$10)))</f>
        <v/>
      </c>
      <c r="AG14" s="4">
        <f>IF($Q14="","",IF($Q14="Tidak",1,0))</f>
        <v/>
      </c>
      <c r="AH14" s="5">
        <f>IF(ISNUMBER(AC14),Panduan_W6!$B$4,0)+IF(ISNUMBER(AD14),Panduan_W6!$B$5,0)+IF(ISNUMBER(AE14),Panduan_W6!$B$6,0)+IF(ISNUMBER(AF14),Panduan_W6!$B$7,0)+IF(ISNUMBER(AG14),Panduan_W6!$B$8,0)</f>
        <v/>
      </c>
      <c r="AI14" s="4">
        <f>IF(LEFT(AJ14,7)&lt;&gt;"Lengkap","",IF(AJ14="Lengkap (gang)",AG14,(IF(ISNUMBER(AC14),Panduan_W6!$B$4*AC14,0)+IF(ISNUMBER(AD14),Panduan_W6!$B$5*AD14,0)+IF(ISNUMBER(AE14),Panduan_W6!$B$6*AE14,0)+IF(ISNUMBER(AF14),Panduan_W6!$B$7*AF14,0)+IF(ISNUMBER(AG14),Panduan_W6!$B$8*AG14,0))/AH14))</f>
        <v/>
      </c>
      <c r="AJ14" s="6">
        <f>IF(AND(Panduan_W6!$B$11="Ya",$I14="Gang",$J14="Sepi"),IF(ISNUMBER(AG14),"Lengkap (gang)","Belum lengkap"),IF(AND(ISNUMBER(AC14),ISNUMBER(AD14),ISNUMBER(AE14),ISNUMBER(AG14),OR(ISNUMBER(AF14),$K14="Tidak ada")),"Lengkap","Belum lengkap"))</f>
        <v/>
      </c>
    </row>
    <row r="15" ht="15" customHeight="1">
      <c r="A15" s="3" t="inlineStr">
        <is>
          <t>RUAS-014</t>
        </is>
      </c>
      <c r="B15" s="3" t="inlineStr">
        <is>
          <t>Day 1</t>
        </is>
      </c>
      <c r="C15" s="3" t="inlineStr">
        <is>
          <t>KWS-04</t>
        </is>
      </c>
      <c r="D15" s="3" t="inlineStr">
        <is>
          <t>Devon</t>
        </is>
      </c>
      <c r="E15" s="3" t="inlineStr">
        <is>
          <t>2026-08-16</t>
        </is>
      </c>
      <c r="F15" s="3" t="inlineStr">
        <is>
          <t>16:23</t>
        </is>
      </c>
      <c r="G15" s="3" t="inlineStr">
        <is>
          <t>Jl. Raya Tajem</t>
        </is>
      </c>
      <c r="H15" s="3" t="n">
        <v>230</v>
      </c>
      <c r="I15" s="3" t="inlineStr">
        <is>
          <t>Jalan raya</t>
        </is>
      </c>
      <c r="J15" s="3" t="inlineStr">
        <is>
          <t>Ramai</t>
        </is>
      </c>
      <c r="K15" s="3" t="inlineStr">
        <is>
          <t>Ada</t>
        </is>
      </c>
      <c r="L15" s="3" t="n">
        <v>1</v>
      </c>
      <c r="M15" s="3" t="n">
        <v>10</v>
      </c>
      <c r="N15" s="3" t="n">
        <v>3</v>
      </c>
      <c r="O15" s="3" t="inlineStr">
        <is>
          <t>mobil parkir</t>
        </is>
      </c>
      <c r="P15" s="3" t="n">
        <v>0</v>
      </c>
      <c r="Q15" s="3" t="inlineStr">
        <is>
          <t>Ya</t>
        </is>
      </c>
      <c r="R15" s="3" t="n">
        <v>0</v>
      </c>
      <c r="S15" s="3" t="n">
        <v>0</v>
      </c>
      <c r="T15" s="3" t="n">
        <v>1</v>
      </c>
      <c r="U15" s="3" t="n">
        <v>0</v>
      </c>
      <c r="V15" s="3" t="n"/>
      <c r="W15" s="3" t="inlineStr">
        <is>
          <t>Di bawah 25 persen</t>
        </is>
      </c>
      <c r="X15" s="3" t="n">
        <v>203</v>
      </c>
      <c r="Y15" s="3" t="n">
        <v>1</v>
      </c>
      <c r="Z15" s="3" t="inlineStr">
        <is>
          <t>Akhirnya di ruas jalan raya tajem, terdapat penerangan jalan. Lampu penerangan kecil dibawah spanduk toko bangunan.</t>
        </is>
      </c>
      <c r="AA15" s="3" t="n">
        <v>4</v>
      </c>
      <c r="AB15" s="3" t="n">
        <v>1.13</v>
      </c>
      <c r="AC15" s="4">
        <f>IF($K15="","",IF($K15="Ada",1,IF($K15="Sebagian",0.5,0)))</f>
        <v/>
      </c>
      <c r="AD15" s="4">
        <f>IF($K15="","",IF($K15="Tidak ada",0,IF($L15="","",MIN($L15/Panduan_W6!$B$9,1))))</f>
        <v/>
      </c>
      <c r="AE15" s="4">
        <f>IF($K15="","",IF($K15="Tidak ada",0,IF(OR($N15="",$H15=""),"",MAX(0,1-$N15/$H15))))</f>
        <v/>
      </c>
      <c r="AF15" s="4">
        <f>IF(OR($K15="",$K15="Tidak ada"),"",IF(OR($P15="",$H15=""),"",EXP(-$P15/$H15*100/Panduan_W6!$B$10)))</f>
        <v/>
      </c>
      <c r="AG15" s="4">
        <f>IF($Q15="","",IF($Q15="Tidak",1,0))</f>
        <v/>
      </c>
      <c r="AH15" s="5">
        <f>IF(ISNUMBER(AC15),Panduan_W6!$B$4,0)+IF(ISNUMBER(AD15),Panduan_W6!$B$5,0)+IF(ISNUMBER(AE15),Panduan_W6!$B$6,0)+IF(ISNUMBER(AF15),Panduan_W6!$B$7,0)+IF(ISNUMBER(AG15),Panduan_W6!$B$8,0)</f>
        <v/>
      </c>
      <c r="AI15" s="4">
        <f>IF(LEFT(AJ15,7)&lt;&gt;"Lengkap","",IF(AJ15="Lengkap (gang)",AG15,(IF(ISNUMBER(AC15),Panduan_W6!$B$4*AC15,0)+IF(ISNUMBER(AD15),Panduan_W6!$B$5*AD15,0)+IF(ISNUMBER(AE15),Panduan_W6!$B$6*AE15,0)+IF(ISNUMBER(AF15),Panduan_W6!$B$7*AF15,0)+IF(ISNUMBER(AG15),Panduan_W6!$B$8*AG15,0))/AH15))</f>
        <v/>
      </c>
      <c r="AJ15" s="6">
        <f>IF(AND(Panduan_W6!$B$11="Ya",$I15="Gang",$J15="Sepi"),IF(ISNUMBER(AG15),"Lengkap (gang)","Belum lengkap"),IF(AND(ISNUMBER(AC15),ISNUMBER(AD15),ISNUMBER(AE15),ISNUMBER(AG15),OR(ISNUMBER(AF15),$K15="Tidak ada")),"Lengkap","Belum lengkap"))</f>
        <v/>
      </c>
    </row>
    <row r="16" ht="15" customHeight="1">
      <c r="A16" s="3" t="inlineStr">
        <is>
          <t>RUAS-015</t>
        </is>
      </c>
      <c r="B16" s="3" t="inlineStr">
        <is>
          <t>Day 1</t>
        </is>
      </c>
      <c r="C16" s="3" t="inlineStr">
        <is>
          <t>KWS-04</t>
        </is>
      </c>
      <c r="D16" s="3" t="inlineStr">
        <is>
          <t>Delon</t>
        </is>
      </c>
      <c r="E16" s="3" t="inlineStr">
        <is>
          <t>2026-08-16</t>
        </is>
      </c>
      <c r="F16" s="3" t="inlineStr">
        <is>
          <t>16:32</t>
        </is>
      </c>
      <c r="G16" s="3" t="inlineStr">
        <is>
          <t>Jl. Stadion</t>
        </is>
      </c>
      <c r="H16" s="3" t="n">
        <v>235</v>
      </c>
      <c r="I16" s="3" t="inlineStr">
        <is>
          <t>Jalan raya</t>
        </is>
      </c>
      <c r="J16" s="3" t="inlineStr">
        <is>
          <t>Sedang</t>
        </is>
      </c>
      <c r="K16" s="3" t="inlineStr">
        <is>
          <t>Ada</t>
        </is>
      </c>
      <c r="L16" s="3" t="n">
        <v>1.8</v>
      </c>
      <c r="M16" s="3" t="n">
        <v>12</v>
      </c>
      <c r="N16" s="3" t="n">
        <v>40</v>
      </c>
      <c r="O16" s="3" t="inlineStr">
        <is>
          <t>mobil parkir, papan spanduk</t>
        </is>
      </c>
      <c r="P16" s="3" t="n">
        <v>12</v>
      </c>
      <c r="Q16" s="3" t="inlineStr">
        <is>
          <t>Ya</t>
        </is>
      </c>
      <c r="R16" s="3" t="n">
        <v>1</v>
      </c>
      <c r="S16" s="3" t="n">
        <v>0</v>
      </c>
      <c r="T16" s="3" t="n">
        <v>5</v>
      </c>
      <c r="U16" s="3" t="n">
        <v>0</v>
      </c>
      <c r="V16" s="3" t="n"/>
      <c r="W16" s="3" t="inlineStr">
        <is>
          <t>Di bawah 25 persen</t>
        </is>
      </c>
      <c r="X16" s="3" t="n">
        <v>225</v>
      </c>
      <c r="Y16" s="3" t="n">
        <v>2</v>
      </c>
      <c r="Z16" s="3" t="inlineStr">
        <is>
          <t>ada pedagang durian di ruas jalan yang memarkirkan mobil di jalan raya, ada juga dupa tertancap di samping ruas jalan</t>
        </is>
      </c>
      <c r="AA16" s="3" t="n">
        <v>4</v>
      </c>
      <c r="AB16" s="3" t="n">
        <v>1.04</v>
      </c>
      <c r="AC16" s="4">
        <f>IF($K16="","",IF($K16="Ada",1,IF($K16="Sebagian",0.5,0)))</f>
        <v/>
      </c>
      <c r="AD16" s="4">
        <f>IF($K16="","",IF($K16="Tidak ada",0,IF($L16="","",MIN($L16/Panduan_W6!$B$9,1))))</f>
        <v/>
      </c>
      <c r="AE16" s="4">
        <f>IF($K16="","",IF($K16="Tidak ada",0,IF(OR($N16="",$H16=""),"",MAX(0,1-$N16/$H16))))</f>
        <v/>
      </c>
      <c r="AF16" s="4">
        <f>IF(OR($K16="",$K16="Tidak ada"),"",IF(OR($P16="",$H16=""),"",EXP(-$P16/$H16*100/Panduan_W6!$B$10)))</f>
        <v/>
      </c>
      <c r="AG16" s="4">
        <f>IF($Q16="","",IF($Q16="Tidak",1,0))</f>
        <v/>
      </c>
      <c r="AH16" s="5">
        <f>IF(ISNUMBER(AC16),Panduan_W6!$B$4,0)+IF(ISNUMBER(AD16),Panduan_W6!$B$5,0)+IF(ISNUMBER(AE16),Panduan_W6!$B$6,0)+IF(ISNUMBER(AF16),Panduan_W6!$B$7,0)+IF(ISNUMBER(AG16),Panduan_W6!$B$8,0)</f>
        <v/>
      </c>
      <c r="AI16" s="4">
        <f>IF(LEFT(AJ16,7)&lt;&gt;"Lengkap","",IF(AJ16="Lengkap (gang)",AG16,(IF(ISNUMBER(AC16),Panduan_W6!$B$4*AC16,0)+IF(ISNUMBER(AD16),Panduan_W6!$B$5*AD16,0)+IF(ISNUMBER(AE16),Panduan_W6!$B$6*AE16,0)+IF(ISNUMBER(AF16),Panduan_W6!$B$7*AF16,0)+IF(ISNUMBER(AG16),Panduan_W6!$B$8*AG16,0))/AH16))</f>
        <v/>
      </c>
      <c r="AJ16" s="6">
        <f>IF(AND(Panduan_W6!$B$11="Ya",$I16="Gang",$J16="Sepi"),IF(ISNUMBER(AG16),"Lengkap (gang)","Belum lengkap"),IF(AND(ISNUMBER(AC16),ISNUMBER(AD16),ISNUMBER(AE16),ISNUMBER(AG16),OR(ISNUMBER(AF16),$K16="Tidak ada")),"Lengkap","Belum lengkap"))</f>
        <v/>
      </c>
    </row>
    <row r="17" ht="15" customHeight="1">
      <c r="A17" s="3" t="inlineStr">
        <is>
          <t>RUAS-016</t>
        </is>
      </c>
      <c r="B17" s="3" t="inlineStr">
        <is>
          <t>Day 1</t>
        </is>
      </c>
      <c r="C17" s="3" t="inlineStr">
        <is>
          <t>KWS-11</t>
        </is>
      </c>
      <c r="D17" s="3" t="inlineStr">
        <is>
          <t>Andalan</t>
        </is>
      </c>
      <c r="E17" s="3" t="inlineStr">
        <is>
          <t>2026-08-16</t>
        </is>
      </c>
      <c r="F17" s="3" t="inlineStr">
        <is>
          <t>16:31</t>
        </is>
      </c>
      <c r="G17" s="3" t="inlineStr">
        <is>
          <t>Jl. Kaliurang Km 6</t>
        </is>
      </c>
      <c r="H17" s="3" t="n">
        <v>250</v>
      </c>
      <c r="I17" s="3" t="inlineStr">
        <is>
          <t>Jalan raya</t>
        </is>
      </c>
      <c r="J17" s="3" t="inlineStr">
        <is>
          <t>Ramai</t>
        </is>
      </c>
      <c r="K17" s="3" t="inlineStr">
        <is>
          <t>Sebagian</t>
        </is>
      </c>
      <c r="L17" s="3" t="n">
        <v>1.4</v>
      </c>
      <c r="M17" s="3" t="n">
        <v>12</v>
      </c>
      <c r="N17" s="3" t="n">
        <v>115</v>
      </c>
      <c r="O17" s="3" t="inlineStr">
        <is>
          <t>material bangunan</t>
        </is>
      </c>
      <c r="P17" s="3" t="n">
        <v>2</v>
      </c>
      <c r="Q17" s="3" t="inlineStr">
        <is>
          <t>Ya</t>
        </is>
      </c>
      <c r="R17" s="3" t="n">
        <v>0</v>
      </c>
      <c r="S17" s="3" t="n">
        <v>0</v>
      </c>
      <c r="T17" s="3" t="n">
        <v>4</v>
      </c>
      <c r="U17" s="3" t="n">
        <v>2</v>
      </c>
      <c r="V17" s="3" t="n">
        <v>45</v>
      </c>
      <c r="W17" s="3" t="inlineStr">
        <is>
          <t>Di bawah 25 persen</t>
        </is>
      </c>
      <c r="X17" s="3" t="n">
        <v>200</v>
      </c>
      <c r="Y17" s="3" t="n">
        <v>1</v>
      </c>
      <c r="Z17" s="3" t="inlineStr">
        <is>
          <t>Toko bangunan pasirnya menghalang jalan. Kondisi keseluruhan masih sama dengan jalan kaliurang km 6 tadi</t>
        </is>
      </c>
      <c r="AA17" s="3" t="n">
        <v>4</v>
      </c>
      <c r="AB17" s="3" t="n">
        <v>1.25</v>
      </c>
      <c r="AC17" s="4">
        <f>IF($K17="","",IF($K17="Ada",1,IF($K17="Sebagian",0.5,0)))</f>
        <v/>
      </c>
      <c r="AD17" s="4">
        <f>IF($K17="","",IF($K17="Tidak ada",0,IF($L17="","",MIN($L17/Panduan_W6!$B$9,1))))</f>
        <v/>
      </c>
      <c r="AE17" s="4">
        <f>IF($K17="","",IF($K17="Tidak ada",0,IF(OR($N17="",$H17=""),"",MAX(0,1-$N17/$H17))))</f>
        <v/>
      </c>
      <c r="AF17" s="4">
        <f>IF(OR($K17="",$K17="Tidak ada"),"",IF(OR($P17="",$H17=""),"",EXP(-$P17/$H17*100/Panduan_W6!$B$10)))</f>
        <v/>
      </c>
      <c r="AG17" s="4">
        <f>IF($Q17="","",IF($Q17="Tidak",1,0))</f>
        <v/>
      </c>
      <c r="AH17" s="5">
        <f>IF(ISNUMBER(AC17),Panduan_W6!$B$4,0)+IF(ISNUMBER(AD17),Panduan_W6!$B$5,0)+IF(ISNUMBER(AE17),Panduan_W6!$B$6,0)+IF(ISNUMBER(AF17),Panduan_W6!$B$7,0)+IF(ISNUMBER(AG17),Panduan_W6!$B$8,0)</f>
        <v/>
      </c>
      <c r="AI17" s="4">
        <f>IF(LEFT(AJ17,7)&lt;&gt;"Lengkap","",IF(AJ17="Lengkap (gang)",AG17,(IF(ISNUMBER(AC17),Panduan_W6!$B$4*AC17,0)+IF(ISNUMBER(AD17),Panduan_W6!$B$5*AD17,0)+IF(ISNUMBER(AE17),Panduan_W6!$B$6*AE17,0)+IF(ISNUMBER(AF17),Panduan_W6!$B$7*AF17,0)+IF(ISNUMBER(AG17),Panduan_W6!$B$8*AG17,0))/AH17))</f>
        <v/>
      </c>
      <c r="AJ17" s="6">
        <f>IF(AND(Panduan_W6!$B$11="Ya",$I17="Gang",$J17="Sepi"),IF(ISNUMBER(AG17),"Lengkap (gang)","Belum lengkap"),IF(AND(ISNUMBER(AC17),ISNUMBER(AD17),ISNUMBER(AE17),ISNUMBER(AG17),OR(ISNUMBER(AF17),$K17="Tidak ada")),"Lengkap","Belum lengkap"))</f>
        <v/>
      </c>
    </row>
    <row r="18" ht="15" customHeight="1">
      <c r="A18" s="3" t="inlineStr">
        <is>
          <t>RUAS-017</t>
        </is>
      </c>
      <c r="B18" s="3" t="inlineStr">
        <is>
          <t>Day 1</t>
        </is>
      </c>
      <c r="C18" s="3" t="inlineStr">
        <is>
          <t>KWS-11</t>
        </is>
      </c>
      <c r="D18" s="3" t="inlineStr">
        <is>
          <t>Theo</t>
        </is>
      </c>
      <c r="E18" s="3" t="inlineStr">
        <is>
          <t>2026-08-16</t>
        </is>
      </c>
      <c r="F18" s="3" t="inlineStr">
        <is>
          <t>16:42</t>
        </is>
      </c>
      <c r="G18" s="3" t="inlineStr">
        <is>
          <t>Gg. Pandega Rini</t>
        </is>
      </c>
      <c r="H18" s="3" t="n">
        <v>93.02</v>
      </c>
      <c r="I18" s="3" t="inlineStr">
        <is>
          <t>Jalan kecil</t>
        </is>
      </c>
      <c r="J18" s="3" t="inlineStr">
        <is>
          <t>Sepi</t>
        </is>
      </c>
      <c r="K18" s="3" t="inlineStr">
        <is>
          <t>Tidak ada</t>
        </is>
      </c>
      <c r="L18" s="3" t="n">
        <v>0</v>
      </c>
      <c r="M18" s="3" t="n">
        <v>4.2</v>
      </c>
      <c r="N18" s="3" t="n">
        <v>0</v>
      </c>
      <c r="O18" s="3" t="inlineStr">
        <is>
          <t>mobil parkir</t>
        </is>
      </c>
      <c r="P18" s="3" t="n">
        <v>0</v>
      </c>
      <c r="Q18" s="3" t="inlineStr">
        <is>
          <t>Ya</t>
        </is>
      </c>
      <c r="R18" s="3" t="n">
        <v>0</v>
      </c>
      <c r="S18" s="3" t="n">
        <v>0</v>
      </c>
      <c r="T18" s="3" t="n">
        <v>3</v>
      </c>
      <c r="U18" s="3" t="n">
        <v>0</v>
      </c>
      <c r="V18" s="3" t="n">
        <v>25.29</v>
      </c>
      <c r="W18" s="3" t="inlineStr">
        <is>
          <t>25 sampai 50 persen</t>
        </is>
      </c>
      <c r="X18" s="3" t="n">
        <v>135</v>
      </c>
      <c r="Y18" s="3" t="n"/>
      <c r="Z18" s="3" t="inlineStr">
        <is>
          <t xml:space="preserve">ruasnya bagus namun beberapa polisi tidur agak rusak </t>
        </is>
      </c>
      <c r="AA18" s="3" t="n">
        <v>1</v>
      </c>
      <c r="AB18" s="3" t="n">
        <v>0.6899999999999999</v>
      </c>
      <c r="AC18" s="4">
        <f>IF($K18="","",IF($K18="Ada",1,IF($K18="Sebagian",0.5,0)))</f>
        <v/>
      </c>
      <c r="AD18" s="4">
        <f>IF($K18="","",IF($K18="Tidak ada",0,IF($L18="","",MIN($L18/Panduan_W6!$B$9,1))))</f>
        <v/>
      </c>
      <c r="AE18" s="4">
        <f>IF($K18="","",IF($K18="Tidak ada",0,IF(OR($N18="",$H18=""),"",MAX(0,1-$N18/$H18))))</f>
        <v/>
      </c>
      <c r="AF18" s="4">
        <f>IF(OR($K18="",$K18="Tidak ada"),"",IF(OR($P18="",$H18=""),"",EXP(-$P18/$H18*100/Panduan_W6!$B$10)))</f>
        <v/>
      </c>
      <c r="AG18" s="4">
        <f>IF($Q18="","",IF($Q18="Tidak",1,0))</f>
        <v/>
      </c>
      <c r="AH18" s="5">
        <f>IF(ISNUMBER(AC18),Panduan_W6!$B$4,0)+IF(ISNUMBER(AD18),Panduan_W6!$B$5,0)+IF(ISNUMBER(AE18),Panduan_W6!$B$6,0)+IF(ISNUMBER(AF18),Panduan_W6!$B$7,0)+IF(ISNUMBER(AG18),Panduan_W6!$B$8,0)</f>
        <v/>
      </c>
      <c r="AI18" s="4">
        <f>IF(LEFT(AJ18,7)&lt;&gt;"Lengkap","",IF(AJ18="Lengkap (gang)",AG18,(IF(ISNUMBER(AC18),Panduan_W6!$B$4*AC18,0)+IF(ISNUMBER(AD18),Panduan_W6!$B$5*AD18,0)+IF(ISNUMBER(AE18),Panduan_W6!$B$6*AE18,0)+IF(ISNUMBER(AF18),Panduan_W6!$B$7*AF18,0)+IF(ISNUMBER(AG18),Panduan_W6!$B$8*AG18,0))/AH18))</f>
        <v/>
      </c>
      <c r="AJ18" s="6">
        <f>IF(AND(Panduan_W6!$B$11="Ya",$I18="Gang",$J18="Sepi"),IF(ISNUMBER(AG18),"Lengkap (gang)","Belum lengkap"),IF(AND(ISNUMBER(AC18),ISNUMBER(AD18),ISNUMBER(AE18),ISNUMBER(AG18),OR(ISNUMBER(AF18),$K18="Tidak ada")),"Lengkap","Belum lengkap"))</f>
        <v/>
      </c>
    </row>
    <row r="19" ht="15" customHeight="1">
      <c r="A19" s="3" t="inlineStr">
        <is>
          <t>RUAS-018</t>
        </is>
      </c>
      <c r="B19" s="3" t="inlineStr">
        <is>
          <t>Day 1</t>
        </is>
      </c>
      <c r="C19" s="3" t="inlineStr">
        <is>
          <t>KWS-04</t>
        </is>
      </c>
      <c r="D19" s="3" t="inlineStr">
        <is>
          <t>Delon</t>
        </is>
      </c>
      <c r="E19" s="3" t="inlineStr">
        <is>
          <t>2026-08-16</t>
        </is>
      </c>
      <c r="F19" s="3" t="inlineStr">
        <is>
          <t>16:51</t>
        </is>
      </c>
      <c r="G19" s="3" t="inlineStr">
        <is>
          <t>Jl. Stadion</t>
        </is>
      </c>
      <c r="H19" s="3" t="n">
        <v>250</v>
      </c>
      <c r="I19" s="3" t="inlineStr">
        <is>
          <t>Jalan raya</t>
        </is>
      </c>
      <c r="J19" s="3" t="inlineStr">
        <is>
          <t>Sedang</t>
        </is>
      </c>
      <c r="K19" s="3" t="inlineStr">
        <is>
          <t>Ada</t>
        </is>
      </c>
      <c r="L19" s="3" t="n">
        <v>1.2</v>
      </c>
      <c r="M19" s="3" t="n">
        <v>12</v>
      </c>
      <c r="N19" s="3" t="n">
        <v>2</v>
      </c>
      <c r="O19" s="3" t="inlineStr">
        <is>
          <t>lubang drainase yang terbuka</t>
        </is>
      </c>
      <c r="P19" s="3" t="n">
        <v>15</v>
      </c>
      <c r="Q19" s="3" t="inlineStr">
        <is>
          <t>Tidak</t>
        </is>
      </c>
      <c r="R19" s="3" t="n">
        <v>0</v>
      </c>
      <c r="S19" s="3" t="n">
        <v>0</v>
      </c>
      <c r="T19" s="3" t="n">
        <v>7</v>
      </c>
      <c r="U19" s="3" t="n">
        <v>0</v>
      </c>
      <c r="V19" s="3" t="n">
        <v>30</v>
      </c>
      <c r="W19" s="3" t="inlineStr">
        <is>
          <t>Nihil</t>
        </is>
      </c>
      <c r="X19" s="3" t="n">
        <v>255</v>
      </c>
      <c r="Y19" s="3" t="n">
        <v>1</v>
      </c>
      <c r="Z19" s="3" t="inlineStr">
        <is>
          <t>cukup ramah pejalan kaki, penerangan bagus, tapi keteduhan nihil  banyak paving lepas serta ada lubang drainase terbuka</t>
        </is>
      </c>
      <c r="AA19" s="3" t="n">
        <v>4</v>
      </c>
      <c r="AB19" s="3" t="n">
        <v>0.98</v>
      </c>
      <c r="AC19" s="4">
        <f>IF($K19="","",IF($K19="Ada",1,IF($K19="Sebagian",0.5,0)))</f>
        <v/>
      </c>
      <c r="AD19" s="4">
        <f>IF($K19="","",IF($K19="Tidak ada",0,IF($L19="","",MIN($L19/Panduan_W6!$B$9,1))))</f>
        <v/>
      </c>
      <c r="AE19" s="4">
        <f>IF($K19="","",IF($K19="Tidak ada",0,IF(OR($N19="",$H19=""),"",MAX(0,1-$N19/$H19))))</f>
        <v/>
      </c>
      <c r="AF19" s="4">
        <f>IF(OR($K19="",$K19="Tidak ada"),"",IF(OR($P19="",$H19=""),"",EXP(-$P19/$H19*100/Panduan_W6!$B$10)))</f>
        <v/>
      </c>
      <c r="AG19" s="4">
        <f>IF($Q19="","",IF($Q19="Tidak",1,0))</f>
        <v/>
      </c>
      <c r="AH19" s="5">
        <f>IF(ISNUMBER(AC19),Panduan_W6!$B$4,0)+IF(ISNUMBER(AD19),Panduan_W6!$B$5,0)+IF(ISNUMBER(AE19),Panduan_W6!$B$6,0)+IF(ISNUMBER(AF19),Panduan_W6!$B$7,0)+IF(ISNUMBER(AG19),Panduan_W6!$B$8,0)</f>
        <v/>
      </c>
      <c r="AI19" s="4">
        <f>IF(LEFT(AJ19,7)&lt;&gt;"Lengkap","",IF(AJ19="Lengkap (gang)",AG19,(IF(ISNUMBER(AC19),Panduan_W6!$B$4*AC19,0)+IF(ISNUMBER(AD19),Panduan_W6!$B$5*AD19,0)+IF(ISNUMBER(AE19),Panduan_W6!$B$6*AE19,0)+IF(ISNUMBER(AF19),Panduan_W6!$B$7*AF19,0)+IF(ISNUMBER(AG19),Panduan_W6!$B$8*AG19,0))/AH19))</f>
        <v/>
      </c>
      <c r="AJ19" s="6">
        <f>IF(AND(Panduan_W6!$B$11="Ya",$I19="Gang",$J19="Sepi"),IF(ISNUMBER(AG19),"Lengkap (gang)","Belum lengkap"),IF(AND(ISNUMBER(AC19),ISNUMBER(AD19),ISNUMBER(AE19),ISNUMBER(AG19),OR(ISNUMBER(AF19),$K19="Tidak ada")),"Lengkap","Belum lengkap"))</f>
        <v/>
      </c>
    </row>
    <row r="20" ht="15" customHeight="1">
      <c r="A20" s="3" t="inlineStr">
        <is>
          <t>RUAS-019</t>
        </is>
      </c>
      <c r="B20" s="3" t="inlineStr">
        <is>
          <t>Day 1</t>
        </is>
      </c>
      <c r="C20" s="3" t="inlineStr">
        <is>
          <t>KWS-11</t>
        </is>
      </c>
      <c r="D20" s="3" t="inlineStr">
        <is>
          <t>Theo</t>
        </is>
      </c>
      <c r="E20" s="3" t="inlineStr">
        <is>
          <t>2026-08-16</t>
        </is>
      </c>
      <c r="F20" s="3" t="inlineStr">
        <is>
          <t>16:58</t>
        </is>
      </c>
      <c r="G20" s="3" t="inlineStr">
        <is>
          <t>Jl Ringroad Utara  km 15</t>
        </is>
      </c>
      <c r="H20" s="3" t="n">
        <v>132.9</v>
      </c>
      <c r="I20" s="3" t="inlineStr">
        <is>
          <t>Jalan raya</t>
        </is>
      </c>
      <c r="J20" s="3" t="inlineStr">
        <is>
          <t>Sedang</t>
        </is>
      </c>
      <c r="K20" s="3" t="inlineStr">
        <is>
          <t>Ada</t>
        </is>
      </c>
      <c r="L20" s="3" t="n">
        <v>1.15</v>
      </c>
      <c r="M20" s="3" t="n">
        <v>5.25</v>
      </c>
      <c r="N20" s="3" t="n">
        <v>73.3</v>
      </c>
      <c r="O20" s="3" t="inlineStr">
        <is>
          <t>akar pohon dan tiang listrik</t>
        </is>
      </c>
      <c r="P20" s="3" t="n">
        <v>7</v>
      </c>
      <c r="Q20" s="3" t="inlineStr">
        <is>
          <t>Tidak</t>
        </is>
      </c>
      <c r="R20" s="3" t="n">
        <v>0</v>
      </c>
      <c r="S20" s="3" t="n">
        <v>0</v>
      </c>
      <c r="T20" s="3" t="n">
        <v>3</v>
      </c>
      <c r="U20" s="3" t="n">
        <v>0</v>
      </c>
      <c r="V20" s="3" t="n">
        <v>19.37</v>
      </c>
      <c r="W20" s="3" t="inlineStr">
        <is>
          <t>Di bawah 25 persen</t>
        </is>
      </c>
      <c r="X20" s="3" t="n">
        <v>141</v>
      </c>
      <c r="Y20" s="3" t="n">
        <v>1</v>
      </c>
      <c r="Z20" s="3" t="inlineStr">
        <is>
          <t xml:space="preserve">cukup untuk jalan saja namun tidak baik untuk orang yang punya kekurangan dalam berjalan </t>
        </is>
      </c>
      <c r="AA20" s="3" t="n">
        <v>2</v>
      </c>
      <c r="AB20" s="3" t="n">
        <v>0.9399999999999999</v>
      </c>
      <c r="AC20" s="4">
        <f>IF($K20="","",IF($K20="Ada",1,IF($K20="Sebagian",0.5,0)))</f>
        <v/>
      </c>
      <c r="AD20" s="4">
        <f>IF($K20="","",IF($K20="Tidak ada",0,IF($L20="","",MIN($L20/Panduan_W6!$B$9,1))))</f>
        <v/>
      </c>
      <c r="AE20" s="4">
        <f>IF($K20="","",IF($K20="Tidak ada",0,IF(OR($N20="",$H20=""),"",MAX(0,1-$N20/$H20))))</f>
        <v/>
      </c>
      <c r="AF20" s="4">
        <f>IF(OR($K20="",$K20="Tidak ada"),"",IF(OR($P20="",$H20=""),"",EXP(-$P20/$H20*100/Panduan_W6!$B$10)))</f>
        <v/>
      </c>
      <c r="AG20" s="4">
        <f>IF($Q20="","",IF($Q20="Tidak",1,0))</f>
        <v/>
      </c>
      <c r="AH20" s="5">
        <f>IF(ISNUMBER(AC20),Panduan_W6!$B$4,0)+IF(ISNUMBER(AD20),Panduan_W6!$B$5,0)+IF(ISNUMBER(AE20),Panduan_W6!$B$6,0)+IF(ISNUMBER(AF20),Panduan_W6!$B$7,0)+IF(ISNUMBER(AG20),Panduan_W6!$B$8,0)</f>
        <v/>
      </c>
      <c r="AI20" s="4">
        <f>IF(LEFT(AJ20,7)&lt;&gt;"Lengkap","",IF(AJ20="Lengkap (gang)",AG20,(IF(ISNUMBER(AC20),Panduan_W6!$B$4*AC20,0)+IF(ISNUMBER(AD20),Panduan_W6!$B$5*AD20,0)+IF(ISNUMBER(AE20),Panduan_W6!$B$6*AE20,0)+IF(ISNUMBER(AF20),Panduan_W6!$B$7*AF20,0)+IF(ISNUMBER(AG20),Panduan_W6!$B$8*AG20,0))/AH20))</f>
        <v/>
      </c>
      <c r="AJ20" s="6">
        <f>IF(AND(Panduan_W6!$B$11="Ya",$I20="Gang",$J20="Sepi"),IF(ISNUMBER(AG20),"Lengkap (gang)","Belum lengkap"),IF(AND(ISNUMBER(AC20),ISNUMBER(AD20),ISNUMBER(AE20),ISNUMBER(AG20),OR(ISNUMBER(AF20),$K20="Tidak ada")),"Lengkap","Belum lengkap"))</f>
        <v/>
      </c>
    </row>
    <row r="21" ht="15" customHeight="1">
      <c r="A21" s="3" t="inlineStr">
        <is>
          <t>RUAS-020</t>
        </is>
      </c>
      <c r="B21" s="3" t="inlineStr">
        <is>
          <t>Day 1</t>
        </is>
      </c>
      <c r="C21" s="3" t="inlineStr">
        <is>
          <t>KWS-04</t>
        </is>
      </c>
      <c r="D21" s="3" t="inlineStr">
        <is>
          <t>Devon</t>
        </is>
      </c>
      <c r="E21" s="3" t="inlineStr">
        <is>
          <t>2026-08-16</t>
        </is>
      </c>
      <c r="F21" s="3" t="inlineStr">
        <is>
          <t>17:02</t>
        </is>
      </c>
      <c r="G21" s="3" t="inlineStr">
        <is>
          <t>Jl. Stadion</t>
        </is>
      </c>
      <c r="H21" s="3" t="n">
        <v>160</v>
      </c>
      <c r="I21" s="3" t="inlineStr">
        <is>
          <t>Jalan raya</t>
        </is>
      </c>
      <c r="J21" s="3" t="inlineStr">
        <is>
          <t>Sedang</t>
        </is>
      </c>
      <c r="K21" s="3" t="inlineStr">
        <is>
          <t>Ada</t>
        </is>
      </c>
      <c r="L21" s="3" t="n">
        <v>1.2</v>
      </c>
      <c r="M21" s="3" t="n">
        <v>12</v>
      </c>
      <c r="N21" s="3" t="n">
        <v>0.5</v>
      </c>
      <c r="O21" s="3" t="inlineStr">
        <is>
          <t>jalan, paving lepas</t>
        </is>
      </c>
      <c r="P21" s="3" t="n">
        <v>13</v>
      </c>
      <c r="Q21" s="3" t="inlineStr">
        <is>
          <t>Ya</t>
        </is>
      </c>
      <c r="R21" s="3" t="n">
        <v>0</v>
      </c>
      <c r="S21" s="3" t="n">
        <v>0</v>
      </c>
      <c r="T21" s="3" t="n">
        <v>5</v>
      </c>
      <c r="U21" s="3" t="n">
        <v>0</v>
      </c>
      <c r="V21" s="3" t="n">
        <v>20</v>
      </c>
      <c r="W21" s="3" t="inlineStr">
        <is>
          <t>Nihil</t>
        </is>
      </c>
      <c r="X21" s="3" t="n">
        <v>158</v>
      </c>
      <c r="Y21" s="3" t="n">
        <v>1</v>
      </c>
      <c r="Z21" s="3" t="inlineStr">
        <is>
          <t>trotoar banyak yang rusak, ada bagian yang tidak dapat dilewati karena rusak</t>
        </is>
      </c>
      <c r="AA21" s="3" t="n">
        <v>4</v>
      </c>
      <c r="AB21" s="3" t="n">
        <v>1.01</v>
      </c>
      <c r="AC21" s="4">
        <f>IF($K21="","",IF($K21="Ada",1,IF($K21="Sebagian",0.5,0)))</f>
        <v/>
      </c>
      <c r="AD21" s="4">
        <f>IF($K21="","",IF($K21="Tidak ada",0,IF($L21="","",MIN($L21/Panduan_W6!$B$9,1))))</f>
        <v/>
      </c>
      <c r="AE21" s="4">
        <f>IF($K21="","",IF($K21="Tidak ada",0,IF(OR($N21="",$H21=""),"",MAX(0,1-$N21/$H21))))</f>
        <v/>
      </c>
      <c r="AF21" s="4">
        <f>IF(OR($K21="",$K21="Tidak ada"),"",IF(OR($P21="",$H21=""),"",EXP(-$P21/$H21*100/Panduan_W6!$B$10)))</f>
        <v/>
      </c>
      <c r="AG21" s="4">
        <f>IF($Q21="","",IF($Q21="Tidak",1,0))</f>
        <v/>
      </c>
      <c r="AH21" s="5">
        <f>IF(ISNUMBER(AC21),Panduan_W6!$B$4,0)+IF(ISNUMBER(AD21),Panduan_W6!$B$5,0)+IF(ISNUMBER(AE21),Panduan_W6!$B$6,0)+IF(ISNUMBER(AF21),Panduan_W6!$B$7,0)+IF(ISNUMBER(AG21),Panduan_W6!$B$8,0)</f>
        <v/>
      </c>
      <c r="AI21" s="4">
        <f>IF(LEFT(AJ21,7)&lt;&gt;"Lengkap","",IF(AJ21="Lengkap (gang)",AG21,(IF(ISNUMBER(AC21),Panduan_W6!$B$4*AC21,0)+IF(ISNUMBER(AD21),Panduan_W6!$B$5*AD21,0)+IF(ISNUMBER(AE21),Panduan_W6!$B$6*AE21,0)+IF(ISNUMBER(AF21),Panduan_W6!$B$7*AF21,0)+IF(ISNUMBER(AG21),Panduan_W6!$B$8*AG21,0))/AH21))</f>
        <v/>
      </c>
      <c r="AJ21" s="6">
        <f>IF(AND(Panduan_W6!$B$11="Ya",$I21="Gang",$J21="Sepi"),IF(ISNUMBER(AG21),"Lengkap (gang)","Belum lengkap"),IF(AND(ISNUMBER(AC21),ISNUMBER(AD21),ISNUMBER(AE21),ISNUMBER(AG21),OR(ISNUMBER(AF21),$K21="Tidak ada")),"Lengkap","Belum lengkap"))</f>
        <v/>
      </c>
    </row>
    <row r="22" ht="15" customHeight="1">
      <c r="A22" s="3" t="inlineStr">
        <is>
          <t>RUAS-021</t>
        </is>
      </c>
      <c r="B22" s="3" t="inlineStr">
        <is>
          <t>Day 1</t>
        </is>
      </c>
      <c r="C22" s="3" t="inlineStr">
        <is>
          <t>KWS-04</t>
        </is>
      </c>
      <c r="D22" s="3" t="inlineStr">
        <is>
          <t>Delon</t>
        </is>
      </c>
      <c r="E22" s="3" t="inlineStr">
        <is>
          <t>2026-08-16</t>
        </is>
      </c>
      <c r="F22" s="3" t="inlineStr">
        <is>
          <t>17:59</t>
        </is>
      </c>
      <c r="G22" s="3" t="inlineStr">
        <is>
          <t>Jl. Raya Tajem</t>
        </is>
      </c>
      <c r="H22" s="3" t="n">
        <v>110</v>
      </c>
      <c r="I22" s="3" t="inlineStr">
        <is>
          <t>Jalan raya</t>
        </is>
      </c>
      <c r="J22" s="3" t="inlineStr">
        <is>
          <t>Ramai</t>
        </is>
      </c>
      <c r="K22" s="3" t="inlineStr">
        <is>
          <t>Tidak ada</t>
        </is>
      </c>
      <c r="L22" s="3" t="n">
        <v>0</v>
      </c>
      <c r="M22" s="3" t="n">
        <v>10</v>
      </c>
      <c r="N22" s="3" t="n">
        <v>0</v>
      </c>
      <c r="O22" s="3" t="inlineStr">
        <is>
          <t>mobil dan motor parkir</t>
        </is>
      </c>
      <c r="P22" s="3" t="n">
        <v>0</v>
      </c>
      <c r="Q22" s="3" t="inlineStr">
        <is>
          <t>Ya</t>
        </is>
      </c>
      <c r="R22" s="3" t="n">
        <v>0</v>
      </c>
      <c r="S22" s="3" t="n">
        <v>0</v>
      </c>
      <c r="T22" s="3" t="n">
        <v>0</v>
      </c>
      <c r="U22" s="3" t="n">
        <v>0</v>
      </c>
      <c r="V22" s="3" t="n">
        <v>0</v>
      </c>
      <c r="W22" s="3" t="inlineStr">
        <is>
          <t>Nihil</t>
        </is>
      </c>
      <c r="X22" s="3" t="n">
        <v>195</v>
      </c>
      <c r="Y22" s="3" t="n"/>
      <c r="Z22" s="3" t="inlineStr">
        <is>
          <t>tidak ada trotoar, area pejalan kaki banyak tertutup kendaraan, tidan ada lampu di sisi timur, tidak ada pohon</t>
        </is>
      </c>
      <c r="AA22" s="3" t="n">
        <v>4</v>
      </c>
      <c r="AB22" s="3" t="n">
        <v>0.5600000000000001</v>
      </c>
      <c r="AC22" s="4">
        <f>IF($K22="","",IF($K22="Ada",1,IF($K22="Sebagian",0.5,0)))</f>
        <v/>
      </c>
      <c r="AD22" s="4">
        <f>IF($K22="","",IF($K22="Tidak ada",0,IF($L22="","",MIN($L22/Panduan_W6!$B$9,1))))</f>
        <v/>
      </c>
      <c r="AE22" s="4">
        <f>IF($K22="","",IF($K22="Tidak ada",0,IF(OR($N22="",$H22=""),"",MAX(0,1-$N22/$H22))))</f>
        <v/>
      </c>
      <c r="AF22" s="4">
        <f>IF(OR($K22="",$K22="Tidak ada"),"",IF(OR($P22="",$H22=""),"",EXP(-$P22/$H22*100/Panduan_W6!$B$10)))</f>
        <v/>
      </c>
      <c r="AG22" s="4">
        <f>IF($Q22="","",IF($Q22="Tidak",1,0))</f>
        <v/>
      </c>
      <c r="AH22" s="5">
        <f>IF(ISNUMBER(AC22),Panduan_W6!$B$4,0)+IF(ISNUMBER(AD22),Panduan_W6!$B$5,0)+IF(ISNUMBER(AE22),Panduan_W6!$B$6,0)+IF(ISNUMBER(AF22),Panduan_W6!$B$7,0)+IF(ISNUMBER(AG22),Panduan_W6!$B$8,0)</f>
        <v/>
      </c>
      <c r="AI22" s="4">
        <f>IF(LEFT(AJ22,7)&lt;&gt;"Lengkap","",IF(AJ22="Lengkap (gang)",AG22,(IF(ISNUMBER(AC22),Panduan_W6!$B$4*AC22,0)+IF(ISNUMBER(AD22),Panduan_W6!$B$5*AD22,0)+IF(ISNUMBER(AE22),Panduan_W6!$B$6*AE22,0)+IF(ISNUMBER(AF22),Panduan_W6!$B$7*AF22,0)+IF(ISNUMBER(AG22),Panduan_W6!$B$8*AG22,0))/AH22))</f>
        <v/>
      </c>
      <c r="AJ22" s="6">
        <f>IF(AND(Panduan_W6!$B$11="Ya",$I22="Gang",$J22="Sepi"),IF(ISNUMBER(AG22),"Lengkap (gang)","Belum lengkap"),IF(AND(ISNUMBER(AC22),ISNUMBER(AD22),ISNUMBER(AE22),ISNUMBER(AG22),OR(ISNUMBER(AF22),$K22="Tidak ada")),"Lengkap","Belum lengkap"))</f>
        <v/>
      </c>
    </row>
    <row r="23" ht="15" customHeight="1">
      <c r="A23" s="3" t="inlineStr">
        <is>
          <t>RUAS-022</t>
        </is>
      </c>
      <c r="B23" s="3" t="inlineStr">
        <is>
          <t>Day 2</t>
        </is>
      </c>
      <c r="C23" s="3" t="inlineStr">
        <is>
          <t>KWS-07</t>
        </is>
      </c>
      <c r="D23" s="3" t="inlineStr">
        <is>
          <t>Andalan</t>
        </is>
      </c>
      <c r="E23" s="3" t="inlineStr">
        <is>
          <t>2026-08-17</t>
        </is>
      </c>
      <c r="F23" s="3" t="inlineStr">
        <is>
          <t>08:33</t>
        </is>
      </c>
      <c r="G23" s="3" t="inlineStr">
        <is>
          <t>Gg. Pucung Baru 1, Depok</t>
        </is>
      </c>
      <c r="H23" s="3" t="n">
        <v>110</v>
      </c>
      <c r="I23" s="3" t="inlineStr">
        <is>
          <t>Gang</t>
        </is>
      </c>
      <c r="J23" s="3" t="inlineStr">
        <is>
          <t>Sepi</t>
        </is>
      </c>
      <c r="K23" s="3" t="inlineStr">
        <is>
          <t>Tidak ada</t>
        </is>
      </c>
      <c r="L23" s="3" t="n">
        <v>0</v>
      </c>
      <c r="M23" s="3" t="n">
        <v>4</v>
      </c>
      <c r="N23" s="3" t="n">
        <v>0</v>
      </c>
      <c r="O23" s="3" t="inlineStr">
        <is>
          <t>tidak ada</t>
        </is>
      </c>
      <c r="P23" s="3" t="n">
        <v>0</v>
      </c>
      <c r="Q23" s="3" t="inlineStr">
        <is>
          <t>Ya</t>
        </is>
      </c>
      <c r="R23" s="3" t="n">
        <v>0</v>
      </c>
      <c r="S23" s="3" t="n">
        <v>0</v>
      </c>
      <c r="T23" s="3" t="n">
        <v>3</v>
      </c>
      <c r="U23" s="3" t="n">
        <v>0</v>
      </c>
      <c r="V23" s="3" t="n">
        <v>35</v>
      </c>
      <c r="W23" s="3" t="inlineStr">
        <is>
          <t>25 sampai 50 persen</t>
        </is>
      </c>
      <c r="X23" s="3" t="n">
        <v>74</v>
      </c>
      <c r="Y23" s="3" t="n">
        <v>1</v>
      </c>
      <c r="Z23" s="3" t="inlineStr">
        <is>
          <t>cukup rindang, gang nya ada kos mewah, tinggi maks kendaraan sekitar 2.2 m</t>
        </is>
      </c>
      <c r="AA23" s="3" t="n">
        <v>1</v>
      </c>
      <c r="AB23" s="3" t="n">
        <v>1.49</v>
      </c>
      <c r="AC23" s="4">
        <f>IF($K23="","",IF($K23="Ada",1,IF($K23="Sebagian",0.5,0)))</f>
        <v/>
      </c>
      <c r="AD23" s="4">
        <f>IF($K23="","",IF($K23="Tidak ada",0,IF($L23="","",MIN($L23/Panduan_W6!$B$9,1))))</f>
        <v/>
      </c>
      <c r="AE23" s="4">
        <f>IF($K23="","",IF($K23="Tidak ada",0,IF(OR($N23="",$H23=""),"",MAX(0,1-$N23/$H23))))</f>
        <v/>
      </c>
      <c r="AF23" s="4">
        <f>IF(OR($K23="",$K23="Tidak ada"),"",IF(OR($P23="",$H23=""),"",EXP(-$P23/$H23*100/Panduan_W6!$B$10)))</f>
        <v/>
      </c>
      <c r="AG23" s="4">
        <f>IF($Q23="","",IF($Q23="Tidak",1,0))</f>
        <v/>
      </c>
      <c r="AH23" s="5">
        <f>IF(ISNUMBER(AC23),Panduan_W6!$B$4,0)+IF(ISNUMBER(AD23),Panduan_W6!$B$5,0)+IF(ISNUMBER(AE23),Panduan_W6!$B$6,0)+IF(ISNUMBER(AF23),Panduan_W6!$B$7,0)+IF(ISNUMBER(AG23),Panduan_W6!$B$8,0)</f>
        <v/>
      </c>
      <c r="AI23" s="4">
        <f>IF(LEFT(AJ23,7)&lt;&gt;"Lengkap","",IF(AJ23="Lengkap (gang)",AG23,(IF(ISNUMBER(AC23),Panduan_W6!$B$4*AC23,0)+IF(ISNUMBER(AD23),Panduan_W6!$B$5*AD23,0)+IF(ISNUMBER(AE23),Panduan_W6!$B$6*AE23,0)+IF(ISNUMBER(AF23),Panduan_W6!$B$7*AF23,0)+IF(ISNUMBER(AG23),Panduan_W6!$B$8*AG23,0))/AH23))</f>
        <v/>
      </c>
      <c r="AJ23" s="6">
        <f>IF(AND(Panduan_W6!$B$11="Ya",$I23="Gang",$J23="Sepi"),IF(ISNUMBER(AG23),"Lengkap (gang)","Belum lengkap"),IF(AND(ISNUMBER(AC23),ISNUMBER(AD23),ISNUMBER(AE23),ISNUMBER(AG23),OR(ISNUMBER(AF23),$K23="Tidak ada")),"Lengkap","Belum lengkap"))</f>
        <v/>
      </c>
    </row>
    <row r="24" ht="15" customHeight="1">
      <c r="A24" s="3" t="inlineStr">
        <is>
          <t>RUAS-023</t>
        </is>
      </c>
      <c r="B24" s="3" t="inlineStr">
        <is>
          <t>Day 2</t>
        </is>
      </c>
      <c r="C24" s="3" t="inlineStr">
        <is>
          <t>KWS-07</t>
        </is>
      </c>
      <c r="D24" s="3" t="inlineStr">
        <is>
          <t>Theo</t>
        </is>
      </c>
      <c r="E24" s="3" t="inlineStr">
        <is>
          <t>2026-08-17</t>
        </is>
      </c>
      <c r="F24" s="3" t="inlineStr">
        <is>
          <t>08:46</t>
        </is>
      </c>
      <c r="G24" s="3" t="inlineStr">
        <is>
          <t>Jl. Ringroad Utara</t>
        </is>
      </c>
      <c r="H24" s="3" t="n">
        <v>180.68</v>
      </c>
      <c r="I24" s="3" t="inlineStr">
        <is>
          <t>Jalan raya</t>
        </is>
      </c>
      <c r="J24" s="3" t="inlineStr">
        <is>
          <t>Ramai</t>
        </is>
      </c>
      <c r="K24" s="3" t="inlineStr">
        <is>
          <t>Sebagian</t>
        </is>
      </c>
      <c r="L24" s="3" t="n">
        <v>1.05</v>
      </c>
      <c r="M24" s="3" t="n">
        <v>10.5</v>
      </c>
      <c r="N24" s="3" t="n">
        <v>104</v>
      </c>
      <c r="O24" s="3" t="inlineStr">
        <is>
          <t>tidak ada</t>
        </is>
      </c>
      <c r="P24" s="3" t="n">
        <v>0</v>
      </c>
      <c r="Q24" s="3" t="inlineStr">
        <is>
          <t>Ya</t>
        </is>
      </c>
      <c r="R24" s="3" t="n">
        <v>0</v>
      </c>
      <c r="S24" s="3" t="n">
        <v>0</v>
      </c>
      <c r="T24" s="3" t="n">
        <v>3</v>
      </c>
      <c r="U24" s="3" t="n">
        <v>0</v>
      </c>
      <c r="V24" s="3" t="n">
        <v>84</v>
      </c>
      <c r="W24" s="3" t="inlineStr">
        <is>
          <t>Di bawah 25 persen</t>
        </is>
      </c>
      <c r="X24" s="3" t="n">
        <v>185</v>
      </c>
      <c r="Y24" s="3" t="n">
        <v>1</v>
      </c>
      <c r="Z24" s="3" t="inlineStr">
        <is>
          <t>jalanan cukup baik namun trotoar hany untuk masuk ke rumah sakit saja tidak untuk spenih jalan</t>
        </is>
      </c>
      <c r="AA24" s="3" t="n">
        <v>3</v>
      </c>
      <c r="AB24" s="3" t="n">
        <v>0.98</v>
      </c>
      <c r="AC24" s="4">
        <f>IF($K24="","",IF($K24="Ada",1,IF($K24="Sebagian",0.5,0)))</f>
        <v/>
      </c>
      <c r="AD24" s="4">
        <f>IF($K24="","",IF($K24="Tidak ada",0,IF($L24="","",MIN($L24/Panduan_W6!$B$9,1))))</f>
        <v/>
      </c>
      <c r="AE24" s="4">
        <f>IF($K24="","",IF($K24="Tidak ada",0,IF(OR($N24="",$H24=""),"",MAX(0,1-$N24/$H24))))</f>
        <v/>
      </c>
      <c r="AF24" s="4">
        <f>IF(OR($K24="",$K24="Tidak ada"),"",IF(OR($P24="",$H24=""),"",EXP(-$P24/$H24*100/Panduan_W6!$B$10)))</f>
        <v/>
      </c>
      <c r="AG24" s="4">
        <f>IF($Q24="","",IF($Q24="Tidak",1,0))</f>
        <v/>
      </c>
      <c r="AH24" s="5">
        <f>IF(ISNUMBER(AC24),Panduan_W6!$B$4,0)+IF(ISNUMBER(AD24),Panduan_W6!$B$5,0)+IF(ISNUMBER(AE24),Panduan_W6!$B$6,0)+IF(ISNUMBER(AF24),Panduan_W6!$B$7,0)+IF(ISNUMBER(AG24),Panduan_W6!$B$8,0)</f>
        <v/>
      </c>
      <c r="AI24" s="4">
        <f>IF(LEFT(AJ24,7)&lt;&gt;"Lengkap","",IF(AJ24="Lengkap (gang)",AG24,(IF(ISNUMBER(AC24),Panduan_W6!$B$4*AC24,0)+IF(ISNUMBER(AD24),Panduan_W6!$B$5*AD24,0)+IF(ISNUMBER(AE24),Panduan_W6!$B$6*AE24,0)+IF(ISNUMBER(AF24),Panduan_W6!$B$7*AF24,0)+IF(ISNUMBER(AG24),Panduan_W6!$B$8*AG24,0))/AH24))</f>
        <v/>
      </c>
      <c r="AJ24" s="6">
        <f>IF(AND(Panduan_W6!$B$11="Ya",$I24="Gang",$J24="Sepi"),IF(ISNUMBER(AG24),"Lengkap (gang)","Belum lengkap"),IF(AND(ISNUMBER(AC24),ISNUMBER(AD24),ISNUMBER(AE24),ISNUMBER(AG24),OR(ISNUMBER(AF24),$K24="Tidak ada")),"Lengkap","Belum lengkap"))</f>
        <v/>
      </c>
    </row>
    <row r="25" ht="15" customHeight="1">
      <c r="A25" s="3" t="inlineStr">
        <is>
          <t>RUAS-024</t>
        </is>
      </c>
      <c r="B25" s="3" t="inlineStr">
        <is>
          <t>Day 2</t>
        </is>
      </c>
      <c r="C25" s="3" t="inlineStr">
        <is>
          <t>KWS-07</t>
        </is>
      </c>
      <c r="D25" s="3" t="inlineStr">
        <is>
          <t>Andalan</t>
        </is>
      </c>
      <c r="E25" s="3" t="inlineStr">
        <is>
          <t>2026-08-17</t>
        </is>
      </c>
      <c r="F25" s="3" t="inlineStr">
        <is>
          <t>09:00</t>
        </is>
      </c>
      <c r="G25" s="3" t="inlineStr">
        <is>
          <t>Gg. Pucung Baru 1, Depok</t>
        </is>
      </c>
      <c r="H25" s="3" t="n">
        <v>140</v>
      </c>
      <c r="I25" s="3" t="inlineStr">
        <is>
          <t>Gang</t>
        </is>
      </c>
      <c r="J25" s="3" t="inlineStr">
        <is>
          <t>Sepi</t>
        </is>
      </c>
      <c r="K25" s="3" t="inlineStr">
        <is>
          <t>Tidak ada</t>
        </is>
      </c>
      <c r="L25" s="3" t="n">
        <v>0</v>
      </c>
      <c r="M25" s="3" t="n">
        <v>4</v>
      </c>
      <c r="N25" s="3" t="n">
        <v>0</v>
      </c>
      <c r="O25" s="3" t="inlineStr">
        <is>
          <t>tidak ada</t>
        </is>
      </c>
      <c r="P25" s="3" t="n">
        <v>1</v>
      </c>
      <c r="Q25" s="3" t="inlineStr">
        <is>
          <t>Ya</t>
        </is>
      </c>
      <c r="R25" s="3" t="n">
        <v>0</v>
      </c>
      <c r="S25" s="3" t="n">
        <v>0</v>
      </c>
      <c r="T25" s="3" t="n">
        <v>3</v>
      </c>
      <c r="U25" s="3" t="n">
        <v>0</v>
      </c>
      <c r="V25" s="3" t="n">
        <v>90</v>
      </c>
      <c r="W25" s="3" t="inlineStr">
        <is>
          <t>25 sampai 50 persen</t>
        </is>
      </c>
      <c r="X25" s="3" t="n">
        <v>96</v>
      </c>
      <c r="Y25" s="3" t="n">
        <v>3</v>
      </c>
      <c r="Z25" s="3" t="inlineStr">
        <is>
          <t>masih di gang yang sama (masuk lebih dalam), ternyata banyak kos eksklusif (ada 4) seperti kos mewah gitu. ada asrama dan tanah dijual juga. hawanya juga rindang krn byk penghijauan</t>
        </is>
      </c>
      <c r="AA25" s="3" t="n">
        <v>1</v>
      </c>
      <c r="AB25" s="3" t="n">
        <v>1.46</v>
      </c>
      <c r="AC25" s="4">
        <f>IF($K25="","",IF($K25="Ada",1,IF($K25="Sebagian",0.5,0)))</f>
        <v/>
      </c>
      <c r="AD25" s="4">
        <f>IF($K25="","",IF($K25="Tidak ada",0,IF($L25="","",MIN($L25/Panduan_W6!$B$9,1))))</f>
        <v/>
      </c>
      <c r="AE25" s="4">
        <f>IF($K25="","",IF($K25="Tidak ada",0,IF(OR($N25="",$H25=""),"",MAX(0,1-$N25/$H25))))</f>
        <v/>
      </c>
      <c r="AF25" s="4">
        <f>IF(OR($K25="",$K25="Tidak ada"),"",IF(OR($P25="",$H25=""),"",EXP(-$P25/$H25*100/Panduan_W6!$B$10)))</f>
        <v/>
      </c>
      <c r="AG25" s="4">
        <f>IF($Q25="","",IF($Q25="Tidak",1,0))</f>
        <v/>
      </c>
      <c r="AH25" s="5">
        <f>IF(ISNUMBER(AC25),Panduan_W6!$B$4,0)+IF(ISNUMBER(AD25),Panduan_W6!$B$5,0)+IF(ISNUMBER(AE25),Panduan_W6!$B$6,0)+IF(ISNUMBER(AF25),Panduan_W6!$B$7,0)+IF(ISNUMBER(AG25),Panduan_W6!$B$8,0)</f>
        <v/>
      </c>
      <c r="AI25" s="4">
        <f>IF(LEFT(AJ25,7)&lt;&gt;"Lengkap","",IF(AJ25="Lengkap (gang)",AG25,(IF(ISNUMBER(AC25),Panduan_W6!$B$4*AC25,0)+IF(ISNUMBER(AD25),Panduan_W6!$B$5*AD25,0)+IF(ISNUMBER(AE25),Panduan_W6!$B$6*AE25,0)+IF(ISNUMBER(AF25),Panduan_W6!$B$7*AF25,0)+IF(ISNUMBER(AG25),Panduan_W6!$B$8*AG25,0))/AH25))</f>
        <v/>
      </c>
      <c r="AJ25" s="6">
        <f>IF(AND(Panduan_W6!$B$11="Ya",$I25="Gang",$J25="Sepi"),IF(ISNUMBER(AG25),"Lengkap (gang)","Belum lengkap"),IF(AND(ISNUMBER(AC25),ISNUMBER(AD25),ISNUMBER(AE25),ISNUMBER(AG25),OR(ISNUMBER(AF25),$K25="Tidak ada")),"Lengkap","Belum lengkap"))</f>
        <v/>
      </c>
    </row>
    <row r="26" ht="15" customHeight="1">
      <c r="A26" s="3" t="inlineStr">
        <is>
          <t>RUAS-025</t>
        </is>
      </c>
      <c r="B26" s="3" t="inlineStr">
        <is>
          <t>Day 2</t>
        </is>
      </c>
      <c r="C26" s="3" t="inlineStr">
        <is>
          <t>KWS-07</t>
        </is>
      </c>
      <c r="D26" s="3" t="inlineStr">
        <is>
          <t>Theo</t>
        </is>
      </c>
      <c r="E26" s="3" t="inlineStr">
        <is>
          <t>2026-08-17</t>
        </is>
      </c>
      <c r="F26" s="3" t="inlineStr">
        <is>
          <t>09:26</t>
        </is>
      </c>
      <c r="G26" s="3" t="inlineStr">
        <is>
          <t>Jl.Ringroad Utara ( arah sebaliknya)</t>
        </is>
      </c>
      <c r="H26" s="3" t="n">
        <v>180.78</v>
      </c>
      <c r="I26" s="3" t="inlineStr">
        <is>
          <t>Jalan raya</t>
        </is>
      </c>
      <c r="J26" s="3" t="inlineStr">
        <is>
          <t>Ramai</t>
        </is>
      </c>
      <c r="K26" s="3" t="inlineStr">
        <is>
          <t>Tidak ada</t>
        </is>
      </c>
      <c r="L26" s="3" t="n">
        <v>0</v>
      </c>
      <c r="M26" s="3" t="n">
        <v>10.47</v>
      </c>
      <c r="N26" s="3" t="n">
        <v>0</v>
      </c>
      <c r="O26" s="3" t="inlineStr">
        <is>
          <t>tidak ada</t>
        </is>
      </c>
      <c r="P26" s="3" t="n">
        <v>0</v>
      </c>
      <c r="Q26" s="3" t="inlineStr">
        <is>
          <t>Ya</t>
        </is>
      </c>
      <c r="R26" s="3" t="n">
        <v>0</v>
      </c>
      <c r="S26" s="3" t="n">
        <v>0</v>
      </c>
      <c r="T26" s="3" t="n">
        <v>3</v>
      </c>
      <c r="U26" s="3" t="n">
        <v>0</v>
      </c>
      <c r="V26" s="3" t="n">
        <v>85</v>
      </c>
      <c r="W26" s="3" t="inlineStr">
        <is>
          <t>Di bawah 25 persen</t>
        </is>
      </c>
      <c r="X26" s="3" t="n">
        <v>179</v>
      </c>
      <c r="Y26" s="3" t="n">
        <v>2</v>
      </c>
      <c r="Z26" s="3" t="n"/>
      <c r="AA26" s="3" t="n">
        <v>3</v>
      </c>
      <c r="AB26" s="3" t="n">
        <v>1.01</v>
      </c>
      <c r="AC26" s="4">
        <f>IF($K26="","",IF($K26="Ada",1,IF($K26="Sebagian",0.5,0)))</f>
        <v/>
      </c>
      <c r="AD26" s="4">
        <f>IF($K26="","",IF($K26="Tidak ada",0,IF($L26="","",MIN($L26/Panduan_W6!$B$9,1))))</f>
        <v/>
      </c>
      <c r="AE26" s="4">
        <f>IF($K26="","",IF($K26="Tidak ada",0,IF(OR($N26="",$H26=""),"",MAX(0,1-$N26/$H26))))</f>
        <v/>
      </c>
      <c r="AF26" s="4">
        <f>IF(OR($K26="",$K26="Tidak ada"),"",IF(OR($P26="",$H26=""),"",EXP(-$P26/$H26*100/Panduan_W6!$B$10)))</f>
        <v/>
      </c>
      <c r="AG26" s="4">
        <f>IF($Q26="","",IF($Q26="Tidak",1,0))</f>
        <v/>
      </c>
      <c r="AH26" s="5">
        <f>IF(ISNUMBER(AC26),Panduan_W6!$B$4,0)+IF(ISNUMBER(AD26),Panduan_W6!$B$5,0)+IF(ISNUMBER(AE26),Panduan_W6!$B$6,0)+IF(ISNUMBER(AF26),Panduan_W6!$B$7,0)+IF(ISNUMBER(AG26),Panduan_W6!$B$8,0)</f>
        <v/>
      </c>
      <c r="AI26" s="4">
        <f>IF(LEFT(AJ26,7)&lt;&gt;"Lengkap","",IF(AJ26="Lengkap (gang)",AG26,(IF(ISNUMBER(AC26),Panduan_W6!$B$4*AC26,0)+IF(ISNUMBER(AD26),Panduan_W6!$B$5*AD26,0)+IF(ISNUMBER(AE26),Panduan_W6!$B$6*AE26,0)+IF(ISNUMBER(AF26),Panduan_W6!$B$7*AF26,0)+IF(ISNUMBER(AG26),Panduan_W6!$B$8*AG26,0))/AH26))</f>
        <v/>
      </c>
      <c r="AJ26" s="6">
        <f>IF(AND(Panduan_W6!$B$11="Ya",$I26="Gang",$J26="Sepi"),IF(ISNUMBER(AG26),"Lengkap (gang)","Belum lengkap"),IF(AND(ISNUMBER(AC26),ISNUMBER(AD26),ISNUMBER(AE26),ISNUMBER(AG26),OR(ISNUMBER(AF26),$K26="Tidak ada")),"Lengkap","Belum lengkap"))</f>
        <v/>
      </c>
    </row>
    <row r="27" ht="15" customHeight="1">
      <c r="A27" s="3" t="inlineStr">
        <is>
          <t>RUAS-026</t>
        </is>
      </c>
      <c r="B27" s="3" t="inlineStr">
        <is>
          <t>Day 2</t>
        </is>
      </c>
      <c r="C27" s="3" t="inlineStr">
        <is>
          <t>KWS-07</t>
        </is>
      </c>
      <c r="D27" s="3" t="inlineStr">
        <is>
          <t>Andalan</t>
        </is>
      </c>
      <c r="E27" s="3" t="inlineStr">
        <is>
          <t>2026-08-17</t>
        </is>
      </c>
      <c r="F27" s="3" t="inlineStr">
        <is>
          <t>09:39</t>
        </is>
      </c>
      <c r="G27" s="3" t="inlineStr">
        <is>
          <t>Gg. Pucung Baru 2, Depok</t>
        </is>
      </c>
      <c r="H27" s="3" t="n">
        <v>220</v>
      </c>
      <c r="I27" s="3" t="inlineStr">
        <is>
          <t>Gang</t>
        </is>
      </c>
      <c r="J27" s="3" t="inlineStr">
        <is>
          <t>Sepi</t>
        </is>
      </c>
      <c r="K27" s="3" t="inlineStr">
        <is>
          <t>Tidak ada</t>
        </is>
      </c>
      <c r="L27" s="3" t="n">
        <v>0</v>
      </c>
      <c r="M27" s="3" t="n">
        <v>4</v>
      </c>
      <c r="N27" s="3" t="n">
        <v>0</v>
      </c>
      <c r="O27" s="3" t="inlineStr">
        <is>
          <t>asap bakar sampah</t>
        </is>
      </c>
      <c r="P27" s="3" t="n">
        <v>1</v>
      </c>
      <c r="Q27" s="3" t="inlineStr">
        <is>
          <t>Ya</t>
        </is>
      </c>
      <c r="R27" s="3" t="n">
        <v>0</v>
      </c>
      <c r="S27" s="3" t="n">
        <v>0</v>
      </c>
      <c r="T27" s="3" t="n">
        <v>8</v>
      </c>
      <c r="U27" s="3" t="n">
        <v>1</v>
      </c>
      <c r="V27" s="3" t="n">
        <v>30</v>
      </c>
      <c r="W27" s="3" t="inlineStr">
        <is>
          <t>25 sampai 50 persen</t>
        </is>
      </c>
      <c r="X27" s="3" t="n">
        <v>198</v>
      </c>
      <c r="Y27" s="3" t="n">
        <v>3</v>
      </c>
      <c r="Z27" s="3" t="inlineStr">
        <is>
          <t>ada rumah terbengkalai, di sampingnya langsung jurang/hutan, pembakaran sampah, dekat kantor padukuhan ngropoh</t>
        </is>
      </c>
      <c r="AA27" s="3" t="n">
        <v>1</v>
      </c>
      <c r="AB27" s="3" t="n">
        <v>1.11</v>
      </c>
      <c r="AC27" s="4">
        <f>IF($K27="","",IF($K27="Ada",1,IF($K27="Sebagian",0.5,0)))</f>
        <v/>
      </c>
      <c r="AD27" s="4">
        <f>IF($K27="","",IF($K27="Tidak ada",0,IF($L27="","",MIN($L27/Panduan_W6!$B$9,1))))</f>
        <v/>
      </c>
      <c r="AE27" s="4">
        <f>IF($K27="","",IF($K27="Tidak ada",0,IF(OR($N27="",$H27=""),"",MAX(0,1-$N27/$H27))))</f>
        <v/>
      </c>
      <c r="AF27" s="4">
        <f>IF(OR($K27="",$K27="Tidak ada"),"",IF(OR($P27="",$H27=""),"",EXP(-$P27/$H27*100/Panduan_W6!$B$10)))</f>
        <v/>
      </c>
      <c r="AG27" s="4">
        <f>IF($Q27="","",IF($Q27="Tidak",1,0))</f>
        <v/>
      </c>
      <c r="AH27" s="5">
        <f>IF(ISNUMBER(AC27),Panduan_W6!$B$4,0)+IF(ISNUMBER(AD27),Panduan_W6!$B$5,0)+IF(ISNUMBER(AE27),Panduan_W6!$B$6,0)+IF(ISNUMBER(AF27),Panduan_W6!$B$7,0)+IF(ISNUMBER(AG27),Panduan_W6!$B$8,0)</f>
        <v/>
      </c>
      <c r="AI27" s="4">
        <f>IF(LEFT(AJ27,7)&lt;&gt;"Lengkap","",IF(AJ27="Lengkap (gang)",AG27,(IF(ISNUMBER(AC27),Panduan_W6!$B$4*AC27,0)+IF(ISNUMBER(AD27),Panduan_W6!$B$5*AD27,0)+IF(ISNUMBER(AE27),Panduan_W6!$B$6*AE27,0)+IF(ISNUMBER(AF27),Panduan_W6!$B$7*AF27,0)+IF(ISNUMBER(AG27),Panduan_W6!$B$8*AG27,0))/AH27))</f>
        <v/>
      </c>
      <c r="AJ27" s="6">
        <f>IF(AND(Panduan_W6!$B$11="Ya",$I27="Gang",$J27="Sepi"),IF(ISNUMBER(AG27),"Lengkap (gang)","Belum lengkap"),IF(AND(ISNUMBER(AC27),ISNUMBER(AD27),ISNUMBER(AE27),ISNUMBER(AG27),OR(ISNUMBER(AF27),$K27="Tidak ada")),"Lengkap","Belum lengkap"))</f>
        <v/>
      </c>
    </row>
    <row r="28" ht="15" customHeight="1">
      <c r="A28" s="3" t="inlineStr">
        <is>
          <t>RUAS-027</t>
        </is>
      </c>
      <c r="B28" s="3" t="inlineStr">
        <is>
          <t>Day 2</t>
        </is>
      </c>
      <c r="C28" s="3" t="inlineStr">
        <is>
          <t>KWS-07</t>
        </is>
      </c>
      <c r="D28" s="3" t="inlineStr">
        <is>
          <t>Theo</t>
        </is>
      </c>
      <c r="E28" s="3" t="inlineStr">
        <is>
          <t>2026-08-17</t>
        </is>
      </c>
      <c r="F28" s="3" t="inlineStr">
        <is>
          <t>09:51</t>
        </is>
      </c>
      <c r="G28" s="3" t="inlineStr">
        <is>
          <t>Jl kaliwaru</t>
        </is>
      </c>
      <c r="H28" s="3" t="n">
        <v>229</v>
      </c>
      <c r="I28" s="3" t="inlineStr">
        <is>
          <t>Jalan kecil</t>
        </is>
      </c>
      <c r="J28" s="3" t="inlineStr">
        <is>
          <t>Sepi</t>
        </is>
      </c>
      <c r="K28" s="3" t="inlineStr">
        <is>
          <t>Tidak ada</t>
        </is>
      </c>
      <c r="L28" s="3" t="n"/>
      <c r="M28" s="3" t="n">
        <v>3.7</v>
      </c>
      <c r="N28" s="3" t="n">
        <v>0</v>
      </c>
      <c r="O28" s="3" t="inlineStr">
        <is>
          <t>tidak ada</t>
        </is>
      </c>
      <c r="P28" s="3" t="n">
        <v>0</v>
      </c>
      <c r="Q28" s="3" t="inlineStr">
        <is>
          <t>Ya</t>
        </is>
      </c>
      <c r="R28" s="3" t="n">
        <v>0</v>
      </c>
      <c r="S28" s="3" t="n">
        <v>0</v>
      </c>
      <c r="T28" s="3" t="n">
        <v>4</v>
      </c>
      <c r="U28" s="3" t="n">
        <v>0</v>
      </c>
      <c r="V28" s="3" t="n">
        <v>40.79</v>
      </c>
      <c r="W28" s="3" t="inlineStr">
        <is>
          <t>Di bawah 25 persen</t>
        </is>
      </c>
      <c r="X28" s="3" t="n">
        <v>208</v>
      </c>
      <c r="Y28" s="3" t="n">
        <v>1</v>
      </c>
      <c r="Z28" s="3" t="inlineStr">
        <is>
          <t>jalan bagus Eko nya juga bagus</t>
        </is>
      </c>
      <c r="AA28" s="3" t="n">
        <v>1.5</v>
      </c>
      <c r="AB28" s="3" t="n">
        <v>1.1</v>
      </c>
      <c r="AC28" s="4">
        <f>IF($K28="","",IF($K28="Ada",1,IF($K28="Sebagian",0.5,0)))</f>
        <v/>
      </c>
      <c r="AD28" s="4">
        <f>IF($K28="","",IF($K28="Tidak ada",0,IF($L28="","",MIN($L28/Panduan_W6!$B$9,1))))</f>
        <v/>
      </c>
      <c r="AE28" s="4">
        <f>IF($K28="","",IF($K28="Tidak ada",0,IF(OR($N28="",$H28=""),"",MAX(0,1-$N28/$H28))))</f>
        <v/>
      </c>
      <c r="AF28" s="4">
        <f>IF(OR($K28="",$K28="Tidak ada"),"",IF(OR($P28="",$H28=""),"",EXP(-$P28/$H28*100/Panduan_W6!$B$10)))</f>
        <v/>
      </c>
      <c r="AG28" s="4">
        <f>IF($Q28="","",IF($Q28="Tidak",1,0))</f>
        <v/>
      </c>
      <c r="AH28" s="5">
        <f>IF(ISNUMBER(AC28),Panduan_W6!$B$4,0)+IF(ISNUMBER(AD28),Panduan_W6!$B$5,0)+IF(ISNUMBER(AE28),Panduan_W6!$B$6,0)+IF(ISNUMBER(AF28),Panduan_W6!$B$7,0)+IF(ISNUMBER(AG28),Panduan_W6!$B$8,0)</f>
        <v/>
      </c>
      <c r="AI28" s="4">
        <f>IF(LEFT(AJ28,7)&lt;&gt;"Lengkap","",IF(AJ28="Lengkap (gang)",AG28,(IF(ISNUMBER(AC28),Panduan_W6!$B$4*AC28,0)+IF(ISNUMBER(AD28),Panduan_W6!$B$5*AD28,0)+IF(ISNUMBER(AE28),Panduan_W6!$B$6*AE28,0)+IF(ISNUMBER(AF28),Panduan_W6!$B$7*AF28,0)+IF(ISNUMBER(AG28),Panduan_W6!$B$8*AG28,0))/AH28))</f>
        <v/>
      </c>
      <c r="AJ28" s="6">
        <f>IF(AND(Panduan_W6!$B$11="Ya",$I28="Gang",$J28="Sepi"),IF(ISNUMBER(AG28),"Lengkap (gang)","Belum lengkap"),IF(AND(ISNUMBER(AC28),ISNUMBER(AD28),ISNUMBER(AE28),ISNUMBER(AG28),OR(ISNUMBER(AF28),$K28="Tidak ada")),"Lengkap","Belum lengkap"))</f>
        <v/>
      </c>
    </row>
    <row r="29" ht="15" customHeight="1">
      <c r="A29" s="3" t="inlineStr">
        <is>
          <t>RUAS-028</t>
        </is>
      </c>
      <c r="B29" s="3" t="inlineStr">
        <is>
          <t>Day 2</t>
        </is>
      </c>
      <c r="C29" s="3" t="inlineStr">
        <is>
          <t>KWS-08</t>
        </is>
      </c>
      <c r="D29" s="3" t="inlineStr">
        <is>
          <t>Devon</t>
        </is>
      </c>
      <c r="E29" s="3" t="inlineStr">
        <is>
          <t>2026-08-17</t>
        </is>
      </c>
      <c r="F29" s="3" t="inlineStr">
        <is>
          <t>10:03</t>
        </is>
      </c>
      <c r="G29" s="3" t="inlineStr">
        <is>
          <t>Jl. Tajem Baru</t>
        </is>
      </c>
      <c r="H29" s="3" t="n">
        <v>82</v>
      </c>
      <c r="I29" s="3" t="inlineStr">
        <is>
          <t>Gang</t>
        </is>
      </c>
      <c r="J29" s="3" t="inlineStr">
        <is>
          <t>Sepi</t>
        </is>
      </c>
      <c r="K29" s="3" t="inlineStr">
        <is>
          <t>Tidak ada</t>
        </is>
      </c>
      <c r="L29" s="3" t="n">
        <v>0</v>
      </c>
      <c r="M29" s="3" t="n">
        <v>3</v>
      </c>
      <c r="N29" s="3" t="n">
        <v>0</v>
      </c>
      <c r="O29" s="3" t="inlineStr">
        <is>
          <t>tidak ada</t>
        </is>
      </c>
      <c r="P29" s="3" t="n">
        <v>0</v>
      </c>
      <c r="Q29" s="3" t="inlineStr">
        <is>
          <t>Ya</t>
        </is>
      </c>
      <c r="R29" s="3" t="n">
        <v>0</v>
      </c>
      <c r="S29" s="3" t="n">
        <v>0</v>
      </c>
      <c r="T29" s="3" t="n">
        <v>1</v>
      </c>
      <c r="U29" s="3" t="n">
        <v>0</v>
      </c>
      <c r="V29" s="3" t="n">
        <v>0</v>
      </c>
      <c r="W29" s="3" t="inlineStr">
        <is>
          <t>Di bawah 25 persen</t>
        </is>
      </c>
      <c r="X29" s="3" t="n">
        <v>84</v>
      </c>
      <c r="Y29" s="3" t="n">
        <v>2</v>
      </c>
      <c r="Z29" s="3" t="n"/>
      <c r="AA29" s="3" t="n">
        <v>1</v>
      </c>
      <c r="AB29" s="3" t="n">
        <v>0.98</v>
      </c>
      <c r="AC29" s="4">
        <f>IF($K29="","",IF($K29="Ada",1,IF($K29="Sebagian",0.5,0)))</f>
        <v/>
      </c>
      <c r="AD29" s="4">
        <f>IF($K29="","",IF($K29="Tidak ada",0,IF($L29="","",MIN($L29/Panduan_W6!$B$9,1))))</f>
        <v/>
      </c>
      <c r="AE29" s="4">
        <f>IF($K29="","",IF($K29="Tidak ada",0,IF(OR($N29="",$H29=""),"",MAX(0,1-$N29/$H29))))</f>
        <v/>
      </c>
      <c r="AF29" s="4">
        <f>IF(OR($K29="",$K29="Tidak ada"),"",IF(OR($P29="",$H29=""),"",EXP(-$P29/$H29*100/Panduan_W6!$B$10)))</f>
        <v/>
      </c>
      <c r="AG29" s="4">
        <f>IF($Q29="","",IF($Q29="Tidak",1,0))</f>
        <v/>
      </c>
      <c r="AH29" s="5">
        <f>IF(ISNUMBER(AC29),Panduan_W6!$B$4,0)+IF(ISNUMBER(AD29),Panduan_W6!$B$5,0)+IF(ISNUMBER(AE29),Panduan_W6!$B$6,0)+IF(ISNUMBER(AF29),Panduan_W6!$B$7,0)+IF(ISNUMBER(AG29),Panduan_W6!$B$8,0)</f>
        <v/>
      </c>
      <c r="AI29" s="4">
        <f>IF(LEFT(AJ29,7)&lt;&gt;"Lengkap","",IF(AJ29="Lengkap (gang)",AG29,(IF(ISNUMBER(AC29),Panduan_W6!$B$4*AC29,0)+IF(ISNUMBER(AD29),Panduan_W6!$B$5*AD29,0)+IF(ISNUMBER(AE29),Panduan_W6!$B$6*AE29,0)+IF(ISNUMBER(AF29),Panduan_W6!$B$7*AF29,0)+IF(ISNUMBER(AG29),Panduan_W6!$B$8*AG29,0))/AH29))</f>
        <v/>
      </c>
      <c r="AJ29" s="6">
        <f>IF(AND(Panduan_W6!$B$11="Ya",$I29="Gang",$J29="Sepi"),IF(ISNUMBER(AG29),"Lengkap (gang)","Belum lengkap"),IF(AND(ISNUMBER(AC29),ISNUMBER(AD29),ISNUMBER(AE29),ISNUMBER(AG29),OR(ISNUMBER(AF29),$K29="Tidak ada")),"Lengkap","Belum lengkap"))</f>
        <v/>
      </c>
    </row>
    <row r="30" ht="15" customHeight="1">
      <c r="A30" s="3" t="inlineStr">
        <is>
          <t>RUAS-029</t>
        </is>
      </c>
      <c r="B30" s="3" t="inlineStr">
        <is>
          <t>Day 2</t>
        </is>
      </c>
      <c r="C30" s="3" t="inlineStr">
        <is>
          <t>KWS-08</t>
        </is>
      </c>
      <c r="D30" s="3" t="inlineStr">
        <is>
          <t>Devon</t>
        </is>
      </c>
      <c r="E30" s="3" t="inlineStr">
        <is>
          <t>2026-08-17</t>
        </is>
      </c>
      <c r="F30" s="3" t="inlineStr">
        <is>
          <t>10:10</t>
        </is>
      </c>
      <c r="G30" s="3" t="inlineStr">
        <is>
          <t>Gg. Melati Jl. Tajem</t>
        </is>
      </c>
      <c r="H30" s="3" t="n">
        <v>163</v>
      </c>
      <c r="I30" s="3" t="inlineStr">
        <is>
          <t>Gang</t>
        </is>
      </c>
      <c r="J30" s="3" t="inlineStr">
        <is>
          <t>Sepi</t>
        </is>
      </c>
      <c r="K30" s="3" t="inlineStr">
        <is>
          <t>Tidak ada</t>
        </is>
      </c>
      <c r="L30" s="3" t="n">
        <v>0</v>
      </c>
      <c r="M30" s="3" t="n">
        <v>3</v>
      </c>
      <c r="N30" s="3" t="n">
        <v>0</v>
      </c>
      <c r="O30" s="3" t="inlineStr">
        <is>
          <t>tidak ada</t>
        </is>
      </c>
      <c r="P30" s="3" t="n">
        <v>0</v>
      </c>
      <c r="Q30" s="3" t="inlineStr">
        <is>
          <t>Ya</t>
        </is>
      </c>
      <c r="R30" s="3" t="n">
        <v>0</v>
      </c>
      <c r="S30" s="3" t="n">
        <v>0</v>
      </c>
      <c r="T30" s="3" t="n">
        <v>3</v>
      </c>
      <c r="U30" s="3" t="n">
        <v>0</v>
      </c>
      <c r="V30" s="3" t="n">
        <v>30</v>
      </c>
      <c r="W30" s="3" t="inlineStr">
        <is>
          <t>Di bawah 25 persen</t>
        </is>
      </c>
      <c r="X30" s="3" t="n">
        <v>150</v>
      </c>
      <c r="Y30" s="3" t="n">
        <v>4</v>
      </c>
      <c r="Z30" s="3" t="inlineStr">
        <is>
          <t>KOREKSI 2026-09-08 (disetujui pemilik repo): entri asli Lebar Jalan=0,0 dan Lebar Trotoar=3,0 saling tertukar. Lebar 0 m mustahil untuk gang yang muat satu mobil; 3,0 m wajar sebagai lebar gang, tidak wajar sebagai trotoar gang. W-6 tetap 0,0 karena Trotoar='Tidak ada'. Yang terpengaruh hanya W-5 tekanan lalu lintas.</t>
        </is>
      </c>
      <c r="AA30" s="3" t="n">
        <v>1</v>
      </c>
      <c r="AB30" s="3" t="n">
        <v>1.09</v>
      </c>
      <c r="AC30" s="4">
        <f>IF($K30="","",IF($K30="Ada",1,IF($K30="Sebagian",0.5,0)))</f>
        <v/>
      </c>
      <c r="AD30" s="4">
        <f>IF($K30="","",IF($K30="Tidak ada",0,IF($L30="","",MIN($L30/Panduan_W6!$B$9,1))))</f>
        <v/>
      </c>
      <c r="AE30" s="4">
        <f>IF($K30="","",IF($K30="Tidak ada",0,IF(OR($N30="",$H30=""),"",MAX(0,1-$N30/$H30))))</f>
        <v/>
      </c>
      <c r="AF30" s="4">
        <f>IF(OR($K30="",$K30="Tidak ada"),"",IF(OR($P30="",$H30=""),"",EXP(-$P30/$H30*100/Panduan_W6!$B$10)))</f>
        <v/>
      </c>
      <c r="AG30" s="4">
        <f>IF($Q30="","",IF($Q30="Tidak",1,0))</f>
        <v/>
      </c>
      <c r="AH30" s="5">
        <f>IF(ISNUMBER(AC30),Panduan_W6!$B$4,0)+IF(ISNUMBER(AD30),Panduan_W6!$B$5,0)+IF(ISNUMBER(AE30),Panduan_W6!$B$6,0)+IF(ISNUMBER(AF30),Panduan_W6!$B$7,0)+IF(ISNUMBER(AG30),Panduan_W6!$B$8,0)</f>
        <v/>
      </c>
      <c r="AI30" s="4">
        <f>IF(LEFT(AJ30,7)&lt;&gt;"Lengkap","",IF(AJ30="Lengkap (gang)",AG30,(IF(ISNUMBER(AC30),Panduan_W6!$B$4*AC30,0)+IF(ISNUMBER(AD30),Panduan_W6!$B$5*AD30,0)+IF(ISNUMBER(AE30),Panduan_W6!$B$6*AE30,0)+IF(ISNUMBER(AF30),Panduan_W6!$B$7*AF30,0)+IF(ISNUMBER(AG30),Panduan_W6!$B$8*AG30,0))/AH30))</f>
        <v/>
      </c>
      <c r="AJ30" s="6">
        <f>IF(AND(Panduan_W6!$B$11="Ya",$I30="Gang",$J30="Sepi"),IF(ISNUMBER(AG30),"Lengkap (gang)","Belum lengkap"),IF(AND(ISNUMBER(AC30),ISNUMBER(AD30),ISNUMBER(AE30),ISNUMBER(AG30),OR(ISNUMBER(AF30),$K30="Tidak ada")),"Lengkap","Belum lengkap"))</f>
        <v/>
      </c>
    </row>
    <row r="31" ht="15" customHeight="1">
      <c r="A31" s="3" t="inlineStr">
        <is>
          <t>RUAS-030</t>
        </is>
      </c>
      <c r="B31" s="3" t="inlineStr">
        <is>
          <t>Day 2</t>
        </is>
      </c>
      <c r="C31" s="3" t="inlineStr">
        <is>
          <t>KWS-03</t>
        </is>
      </c>
      <c r="D31" s="3" t="inlineStr">
        <is>
          <t>Andalan</t>
        </is>
      </c>
      <c r="E31" s="3" t="inlineStr">
        <is>
          <t>2026-08-17</t>
        </is>
      </c>
      <c r="F31" s="3" t="inlineStr">
        <is>
          <t>10:40</t>
        </is>
      </c>
      <c r="G31" s="3" t="inlineStr">
        <is>
          <t>Jl. Padjajaran depan UPN persis</t>
        </is>
      </c>
      <c r="H31" s="3" t="n">
        <v>220</v>
      </c>
      <c r="I31" s="3" t="inlineStr">
        <is>
          <t>Jalan kecil</t>
        </is>
      </c>
      <c r="J31" s="3" t="inlineStr">
        <is>
          <t>Sedang</t>
        </is>
      </c>
      <c r="K31" s="3" t="inlineStr">
        <is>
          <t>Tidak ada</t>
        </is>
      </c>
      <c r="L31" s="3" t="n">
        <v>0</v>
      </c>
      <c r="M31" s="3" t="n">
        <v>4</v>
      </c>
      <c r="N31" s="3" t="n">
        <v>0</v>
      </c>
      <c r="O31" s="3" t="inlineStr">
        <is>
          <t>tidak ada</t>
        </is>
      </c>
      <c r="P31" s="3" t="n">
        <v>1</v>
      </c>
      <c r="Q31" s="3" t="inlineStr">
        <is>
          <t>Ya</t>
        </is>
      </c>
      <c r="R31" s="3" t="n">
        <v>0</v>
      </c>
      <c r="S31" s="3" t="n">
        <v>0</v>
      </c>
      <c r="T31" s="3" t="n">
        <v>4</v>
      </c>
      <c r="U31" s="3" t="n">
        <v>0</v>
      </c>
      <c r="V31" s="3" t="n">
        <v>50</v>
      </c>
      <c r="W31" s="3" t="inlineStr">
        <is>
          <t>Di atas 50 persen</t>
        </is>
      </c>
      <c r="X31" s="3" t="n">
        <v>129</v>
      </c>
      <c r="Y31" s="3" t="n">
        <v>5</v>
      </c>
      <c r="Z31" s="3" t="inlineStr">
        <is>
          <t>rame, jalan pejalan kaki dibagi jadi aspal sama tanah. yang tanah full ditutupi pohon. gaada trotoar.</t>
        </is>
      </c>
      <c r="AA31" s="3" t="n">
        <v>1</v>
      </c>
      <c r="AB31" s="3" t="n">
        <v>1.71</v>
      </c>
      <c r="AC31" s="4">
        <f>IF($K31="","",IF($K31="Ada",1,IF($K31="Sebagian",0.5,0)))</f>
        <v/>
      </c>
      <c r="AD31" s="4">
        <f>IF($K31="","",IF($K31="Tidak ada",0,IF($L31="","",MIN($L31/Panduan_W6!$B$9,1))))</f>
        <v/>
      </c>
      <c r="AE31" s="4">
        <f>IF($K31="","",IF($K31="Tidak ada",0,IF(OR($N31="",$H31=""),"",MAX(0,1-$N31/$H31))))</f>
        <v/>
      </c>
      <c r="AF31" s="4">
        <f>IF(OR($K31="",$K31="Tidak ada"),"",IF(OR($P31="",$H31=""),"",EXP(-$P31/$H31*100/Panduan_W6!$B$10)))</f>
        <v/>
      </c>
      <c r="AG31" s="4">
        <f>IF($Q31="","",IF($Q31="Tidak",1,0))</f>
        <v/>
      </c>
      <c r="AH31" s="5">
        <f>IF(ISNUMBER(AC31),Panduan_W6!$B$4,0)+IF(ISNUMBER(AD31),Panduan_W6!$B$5,0)+IF(ISNUMBER(AE31),Panduan_W6!$B$6,0)+IF(ISNUMBER(AF31),Panduan_W6!$B$7,0)+IF(ISNUMBER(AG31),Panduan_W6!$B$8,0)</f>
        <v/>
      </c>
      <c r="AI31" s="4">
        <f>IF(LEFT(AJ31,7)&lt;&gt;"Lengkap","",IF(AJ31="Lengkap (gang)",AG31,(IF(ISNUMBER(AC31),Panduan_W6!$B$4*AC31,0)+IF(ISNUMBER(AD31),Panduan_W6!$B$5*AD31,0)+IF(ISNUMBER(AE31),Panduan_W6!$B$6*AE31,0)+IF(ISNUMBER(AF31),Panduan_W6!$B$7*AF31,0)+IF(ISNUMBER(AG31),Panduan_W6!$B$8*AG31,0))/AH31))</f>
        <v/>
      </c>
      <c r="AJ31" s="6">
        <f>IF(AND(Panduan_W6!$B$11="Ya",$I31="Gang",$J31="Sepi"),IF(ISNUMBER(AG31),"Lengkap (gang)","Belum lengkap"),IF(AND(ISNUMBER(AC31),ISNUMBER(AD31),ISNUMBER(AE31),ISNUMBER(AG31),OR(ISNUMBER(AF31),$K31="Tidak ada")),"Lengkap","Belum lengkap"))</f>
        <v/>
      </c>
    </row>
    <row r="32" ht="15" customHeight="1">
      <c r="A32" s="3" t="inlineStr">
        <is>
          <t>RUAS-031</t>
        </is>
      </c>
      <c r="B32" s="3" t="inlineStr">
        <is>
          <t>Day 2</t>
        </is>
      </c>
      <c r="C32" s="3" t="inlineStr">
        <is>
          <t>KWS-08</t>
        </is>
      </c>
      <c r="D32" s="3" t="inlineStr">
        <is>
          <t>Delon</t>
        </is>
      </c>
      <c r="E32" s="3" t="inlineStr">
        <is>
          <t>2026-08-17</t>
        </is>
      </c>
      <c r="F32" s="3" t="inlineStr">
        <is>
          <t>10:53</t>
        </is>
      </c>
      <c r="G32" s="3" t="inlineStr">
        <is>
          <t>Jl. Raya Tajem</t>
        </is>
      </c>
      <c r="H32" s="3" t="n">
        <v>104</v>
      </c>
      <c r="I32" s="3" t="inlineStr">
        <is>
          <t>Jalan raya</t>
        </is>
      </c>
      <c r="J32" s="3" t="inlineStr">
        <is>
          <t>Sedang</t>
        </is>
      </c>
      <c r="K32" s="3" t="inlineStr">
        <is>
          <t>Ada</t>
        </is>
      </c>
      <c r="L32" s="3" t="n">
        <v>2</v>
      </c>
      <c r="M32" s="3" t="n">
        <v>8</v>
      </c>
      <c r="N32" s="3" t="n">
        <v>18</v>
      </c>
      <c r="O32" s="3" t="inlineStr">
        <is>
          <t>tidak ada</t>
        </is>
      </c>
      <c r="P32" s="3" t="n">
        <v>3</v>
      </c>
      <c r="Q32" s="3" t="inlineStr">
        <is>
          <t>Ya</t>
        </is>
      </c>
      <c r="R32" s="3" t="n">
        <v>0</v>
      </c>
      <c r="S32" s="3" t="n">
        <v>0</v>
      </c>
      <c r="T32" s="3" t="n">
        <v>3</v>
      </c>
      <c r="U32" s="3" t="n">
        <v>0</v>
      </c>
      <c r="V32" s="3" t="n">
        <v>30</v>
      </c>
      <c r="W32" s="3" t="inlineStr">
        <is>
          <t>Nihil</t>
        </is>
      </c>
      <c r="X32" s="3" t="n">
        <v>107</v>
      </c>
      <c r="Y32" s="3" t="n">
        <v>2</v>
      </c>
      <c r="Z32" s="3" t="inlineStr">
        <is>
          <t>jalan melebar, memotong area pejalan kaki, area pejalan kaki penuh batu dan pasir</t>
        </is>
      </c>
      <c r="AA32" s="3" t="n">
        <v>4</v>
      </c>
      <c r="AB32" s="3" t="n">
        <v>0.97</v>
      </c>
      <c r="AC32" s="4">
        <f>IF($K32="","",IF($K32="Ada",1,IF($K32="Sebagian",0.5,0)))</f>
        <v/>
      </c>
      <c r="AD32" s="4">
        <f>IF($K32="","",IF($K32="Tidak ada",0,IF($L32="","",MIN($L32/Panduan_W6!$B$9,1))))</f>
        <v/>
      </c>
      <c r="AE32" s="4">
        <f>IF($K32="","",IF($K32="Tidak ada",0,IF(OR($N32="",$H32=""),"",MAX(0,1-$N32/$H32))))</f>
        <v/>
      </c>
      <c r="AF32" s="4">
        <f>IF(OR($K32="",$K32="Tidak ada"),"",IF(OR($P32="",$H32=""),"",EXP(-$P32/$H32*100/Panduan_W6!$B$10)))</f>
        <v/>
      </c>
      <c r="AG32" s="4">
        <f>IF($Q32="","",IF($Q32="Tidak",1,0))</f>
        <v/>
      </c>
      <c r="AH32" s="5">
        <f>IF(ISNUMBER(AC32),Panduan_W6!$B$4,0)+IF(ISNUMBER(AD32),Panduan_W6!$B$5,0)+IF(ISNUMBER(AE32),Panduan_W6!$B$6,0)+IF(ISNUMBER(AF32),Panduan_W6!$B$7,0)+IF(ISNUMBER(AG32),Panduan_W6!$B$8,0)</f>
        <v/>
      </c>
      <c r="AI32" s="4">
        <f>IF(LEFT(AJ32,7)&lt;&gt;"Lengkap","",IF(AJ32="Lengkap (gang)",AG32,(IF(ISNUMBER(AC32),Panduan_W6!$B$4*AC32,0)+IF(ISNUMBER(AD32),Panduan_W6!$B$5*AD32,0)+IF(ISNUMBER(AE32),Panduan_W6!$B$6*AE32,0)+IF(ISNUMBER(AF32),Panduan_W6!$B$7*AF32,0)+IF(ISNUMBER(AG32),Panduan_W6!$B$8*AG32,0))/AH32))</f>
        <v/>
      </c>
      <c r="AJ32" s="6">
        <f>IF(AND(Panduan_W6!$B$11="Ya",$I32="Gang",$J32="Sepi"),IF(ISNUMBER(AG32),"Lengkap (gang)","Belum lengkap"),IF(AND(ISNUMBER(AC32),ISNUMBER(AD32),ISNUMBER(AE32),ISNUMBER(AG32),OR(ISNUMBER(AF32),$K32="Tidak ada")),"Lengkap","Belum lengkap"))</f>
        <v/>
      </c>
    </row>
    <row r="33" ht="15" customHeight="1">
      <c r="A33" s="3" t="inlineStr">
        <is>
          <t>RUAS-032</t>
        </is>
      </c>
      <c r="B33" s="3" t="inlineStr">
        <is>
          <t>Day 2</t>
        </is>
      </c>
      <c r="C33" s="3" t="inlineStr">
        <is>
          <t>KWS-08</t>
        </is>
      </c>
      <c r="D33" s="3" t="inlineStr">
        <is>
          <t>Devon</t>
        </is>
      </c>
      <c r="E33" s="3" t="inlineStr">
        <is>
          <t>2026-08-17</t>
        </is>
      </c>
      <c r="F33" s="3" t="inlineStr">
        <is>
          <t>11:04</t>
        </is>
      </c>
      <c r="G33" s="3" t="inlineStr">
        <is>
          <t>Jl. Kadisoka</t>
        </is>
      </c>
      <c r="H33" s="3" t="n">
        <v>110</v>
      </c>
      <c r="I33" s="3" t="inlineStr">
        <is>
          <t>Jalan raya</t>
        </is>
      </c>
      <c r="J33" s="3" t="inlineStr">
        <is>
          <t>Ramai</t>
        </is>
      </c>
      <c r="K33" s="3" t="inlineStr">
        <is>
          <t>Ada</t>
        </is>
      </c>
      <c r="L33" s="3" t="n">
        <v>1</v>
      </c>
      <c r="M33" s="3" t="n">
        <v>5</v>
      </c>
      <c r="N33" s="3" t="n">
        <v>0</v>
      </c>
      <c r="O33" s="3" t="inlineStr">
        <is>
          <t>pedagang kaki lima</t>
        </is>
      </c>
      <c r="P33" s="3" t="n">
        <v>1</v>
      </c>
      <c r="Q33" s="3" t="inlineStr">
        <is>
          <t>Ya</t>
        </is>
      </c>
      <c r="R33" s="3" t="n">
        <v>0</v>
      </c>
      <c r="S33" s="3" t="n">
        <v>0</v>
      </c>
      <c r="T33" s="3" t="n">
        <v>0</v>
      </c>
      <c r="U33" s="3" t="n">
        <v>0</v>
      </c>
      <c r="V33" s="3" t="n">
        <v>0</v>
      </c>
      <c r="W33" s="3" t="inlineStr">
        <is>
          <t>Di bawah 25 persen</t>
        </is>
      </c>
      <c r="X33" s="3" t="n">
        <v>90</v>
      </c>
      <c r="Y33" s="3" t="n">
        <v>2</v>
      </c>
      <c r="Z33" s="3" t="inlineStr">
        <is>
          <t xml:space="preserve">tidak ramah penalan kaki. Terdapat lobang parit ditengah are jalan. </t>
        </is>
      </c>
      <c r="AA33" s="3" t="n">
        <v>2</v>
      </c>
      <c r="AB33" s="3" t="n">
        <v>1.22</v>
      </c>
      <c r="AC33" s="4">
        <f>IF($K33="","",IF($K33="Ada",1,IF($K33="Sebagian",0.5,0)))</f>
        <v/>
      </c>
      <c r="AD33" s="4">
        <f>IF($K33="","",IF($K33="Tidak ada",0,IF($L33="","",MIN($L33/Panduan_W6!$B$9,1))))</f>
        <v/>
      </c>
      <c r="AE33" s="4">
        <f>IF($K33="","",IF($K33="Tidak ada",0,IF(OR($N33="",$H33=""),"",MAX(0,1-$N33/$H33))))</f>
        <v/>
      </c>
      <c r="AF33" s="4">
        <f>IF(OR($K33="",$K33="Tidak ada"),"",IF(OR($P33="",$H33=""),"",EXP(-$P33/$H33*100/Panduan_W6!$B$10)))</f>
        <v/>
      </c>
      <c r="AG33" s="4">
        <f>IF($Q33="","",IF($Q33="Tidak",1,0))</f>
        <v/>
      </c>
      <c r="AH33" s="5">
        <f>IF(ISNUMBER(AC33),Panduan_W6!$B$4,0)+IF(ISNUMBER(AD33),Panduan_W6!$B$5,0)+IF(ISNUMBER(AE33),Panduan_W6!$B$6,0)+IF(ISNUMBER(AF33),Panduan_W6!$B$7,0)+IF(ISNUMBER(AG33),Panduan_W6!$B$8,0)</f>
        <v/>
      </c>
      <c r="AI33" s="4">
        <f>IF(LEFT(AJ33,7)&lt;&gt;"Lengkap","",IF(AJ33="Lengkap (gang)",AG33,(IF(ISNUMBER(AC33),Panduan_W6!$B$4*AC33,0)+IF(ISNUMBER(AD33),Panduan_W6!$B$5*AD33,0)+IF(ISNUMBER(AE33),Panduan_W6!$B$6*AE33,0)+IF(ISNUMBER(AF33),Panduan_W6!$B$7*AF33,0)+IF(ISNUMBER(AG33),Panduan_W6!$B$8*AG33,0))/AH33))</f>
        <v/>
      </c>
      <c r="AJ33" s="6">
        <f>IF(AND(Panduan_W6!$B$11="Ya",$I33="Gang",$J33="Sepi"),IF(ISNUMBER(AG33),"Lengkap (gang)","Belum lengkap"),IF(AND(ISNUMBER(AC33),ISNUMBER(AD33),ISNUMBER(AE33),ISNUMBER(AG33),OR(ISNUMBER(AF33),$K33="Tidak ada")),"Lengkap","Belum lengkap"))</f>
        <v/>
      </c>
    </row>
    <row r="34" ht="15" customHeight="1">
      <c r="A34" s="3" t="inlineStr">
        <is>
          <t>RUAS-033</t>
        </is>
      </c>
      <c r="B34" s="3" t="inlineStr">
        <is>
          <t>Day 2</t>
        </is>
      </c>
      <c r="C34" s="3" t="inlineStr">
        <is>
          <t>KWS-08</t>
        </is>
      </c>
      <c r="D34" s="3" t="inlineStr">
        <is>
          <t>Delon</t>
        </is>
      </c>
      <c r="E34" s="3" t="inlineStr">
        <is>
          <t>2026-08-17</t>
        </is>
      </c>
      <c r="F34" s="3" t="inlineStr">
        <is>
          <t>11:10</t>
        </is>
      </c>
      <c r="G34" s="3" t="inlineStr">
        <is>
          <t>Jl. Raya Tajem</t>
        </is>
      </c>
      <c r="H34" s="3" t="n">
        <v>125</v>
      </c>
      <c r="I34" s="3" t="inlineStr">
        <is>
          <t>Jalan raya</t>
        </is>
      </c>
      <c r="J34" s="3" t="inlineStr">
        <is>
          <t>Sedang</t>
        </is>
      </c>
      <c r="K34" s="3" t="inlineStr">
        <is>
          <t>Ada</t>
        </is>
      </c>
      <c r="L34" s="3" t="n">
        <v>1</v>
      </c>
      <c r="M34" s="3" t="n">
        <v>10</v>
      </c>
      <c r="N34" s="3" t="n">
        <v>3</v>
      </c>
      <c r="O34" s="3" t="inlineStr">
        <is>
          <t>pedagang kaki lima</t>
        </is>
      </c>
      <c r="P34" s="3" t="n">
        <v>0</v>
      </c>
      <c r="Q34" s="3" t="inlineStr">
        <is>
          <t>Ya</t>
        </is>
      </c>
      <c r="R34" s="3" t="n">
        <v>0</v>
      </c>
      <c r="S34" s="3" t="n">
        <v>0</v>
      </c>
      <c r="T34" s="3" t="n">
        <v>3</v>
      </c>
      <c r="U34" s="3" t="n">
        <v>0</v>
      </c>
      <c r="V34" s="3" t="n">
        <v>41</v>
      </c>
      <c r="W34" s="3" t="inlineStr">
        <is>
          <t>Di bawah 25 persen</t>
        </is>
      </c>
      <c r="X34" s="3" t="n">
        <v>123</v>
      </c>
      <c r="Y34" s="3" t="n">
        <v>2</v>
      </c>
      <c r="Z34" s="3" t="inlineStr">
        <is>
          <t>area pejalan kaki cukup untuk 1 orang  banyak pertokoan, jalanab ramai melaku kencang, beberapa bagian pejalan tertutup pedagang kaki lima</t>
        </is>
      </c>
      <c r="AA34" s="3" t="n">
        <v>4</v>
      </c>
      <c r="AB34" s="3" t="n">
        <v>1.02</v>
      </c>
      <c r="AC34" s="4">
        <f>IF($K34="","",IF($K34="Ada",1,IF($K34="Sebagian",0.5,0)))</f>
        <v/>
      </c>
      <c r="AD34" s="4">
        <f>IF($K34="","",IF($K34="Tidak ada",0,IF($L34="","",MIN($L34/Panduan_W6!$B$9,1))))</f>
        <v/>
      </c>
      <c r="AE34" s="4">
        <f>IF($K34="","",IF($K34="Tidak ada",0,IF(OR($N34="",$H34=""),"",MAX(0,1-$N34/$H34))))</f>
        <v/>
      </c>
      <c r="AF34" s="4">
        <f>IF(OR($K34="",$K34="Tidak ada"),"",IF(OR($P34="",$H34=""),"",EXP(-$P34/$H34*100/Panduan_W6!$B$10)))</f>
        <v/>
      </c>
      <c r="AG34" s="4">
        <f>IF($Q34="","",IF($Q34="Tidak",1,0))</f>
        <v/>
      </c>
      <c r="AH34" s="5">
        <f>IF(ISNUMBER(AC34),Panduan_W6!$B$4,0)+IF(ISNUMBER(AD34),Panduan_W6!$B$5,0)+IF(ISNUMBER(AE34),Panduan_W6!$B$6,0)+IF(ISNUMBER(AF34),Panduan_W6!$B$7,0)+IF(ISNUMBER(AG34),Panduan_W6!$B$8,0)</f>
        <v/>
      </c>
      <c r="AI34" s="4">
        <f>IF(LEFT(AJ34,7)&lt;&gt;"Lengkap","",IF(AJ34="Lengkap (gang)",AG34,(IF(ISNUMBER(AC34),Panduan_W6!$B$4*AC34,0)+IF(ISNUMBER(AD34),Panduan_W6!$B$5*AD34,0)+IF(ISNUMBER(AE34),Panduan_W6!$B$6*AE34,0)+IF(ISNUMBER(AF34),Panduan_W6!$B$7*AF34,0)+IF(ISNUMBER(AG34),Panduan_W6!$B$8*AG34,0))/AH34))</f>
        <v/>
      </c>
      <c r="AJ34" s="6">
        <f>IF(AND(Panduan_W6!$B$11="Ya",$I34="Gang",$J34="Sepi"),IF(ISNUMBER(AG34),"Lengkap (gang)","Belum lengkap"),IF(AND(ISNUMBER(AC34),ISNUMBER(AD34),ISNUMBER(AE34),ISNUMBER(AG34),OR(ISNUMBER(AF34),$K34="Tidak ada")),"Lengkap","Belum lengkap"))</f>
        <v/>
      </c>
    </row>
    <row r="35" ht="15" customHeight="1">
      <c r="A35" s="3" t="inlineStr">
        <is>
          <t>RUAS-034</t>
        </is>
      </c>
      <c r="B35" s="3" t="inlineStr">
        <is>
          <t>Day 2</t>
        </is>
      </c>
      <c r="C35" s="3" t="inlineStr">
        <is>
          <t>KWS-03</t>
        </is>
      </c>
      <c r="D35" s="3" t="inlineStr">
        <is>
          <t>Andalan</t>
        </is>
      </c>
      <c r="E35" s="3" t="inlineStr">
        <is>
          <t>2026-08-17</t>
        </is>
      </c>
      <c r="F35" s="3" t="inlineStr">
        <is>
          <t>11:27</t>
        </is>
      </c>
      <c r="G35" s="3" t="inlineStr">
        <is>
          <t>Jl. UPN</t>
        </is>
      </c>
      <c r="H35" s="3" t="n">
        <v>140</v>
      </c>
      <c r="I35" s="3" t="inlineStr">
        <is>
          <t>Jalan kecil</t>
        </is>
      </c>
      <c r="J35" s="3" t="inlineStr">
        <is>
          <t>Sepi</t>
        </is>
      </c>
      <c r="K35" s="3" t="inlineStr">
        <is>
          <t>Sebagian</t>
        </is>
      </c>
      <c r="L35" s="3" t="n">
        <v>1</v>
      </c>
      <c r="M35" s="3" t="n">
        <v>3</v>
      </c>
      <c r="N35" s="3" t="n">
        <v>0</v>
      </c>
      <c r="O35" s="3" t="inlineStr">
        <is>
          <t>tiang listrik</t>
        </is>
      </c>
      <c r="P35" s="3" t="n">
        <v>2</v>
      </c>
      <c r="Q35" s="3" t="inlineStr">
        <is>
          <t>Ya</t>
        </is>
      </c>
      <c r="R35" s="3" t="n">
        <v>0</v>
      </c>
      <c r="S35" s="3" t="n">
        <v>0</v>
      </c>
      <c r="T35" s="3" t="n">
        <v>6</v>
      </c>
      <c r="U35" s="3" t="n">
        <v>0</v>
      </c>
      <c r="V35" s="3" t="n">
        <v>16</v>
      </c>
      <c r="W35" s="3" t="inlineStr">
        <is>
          <t>Di bawah 25 persen</t>
        </is>
      </c>
      <c r="X35" s="3" t="n">
        <v>120</v>
      </c>
      <c r="Y35" s="3" t="n">
        <v>2</v>
      </c>
      <c r="Z35" s="3" t="inlineStr">
        <is>
          <t>gang persis di samping UPN, ada warmindo dan kos. terhalang bekas bakar sampah, jalannya kecil dan cukup bersampah || KOREKSI 2026-09-08 (disetujui pemilik repo): entri asli Trotoar='Tidak ada' tapi Lebar Trotoar=1,0 m - bertentangan. Diubah jadi 'Sebagian'. DASAR: keputusan pemilik repo, bukan nilai tercatat. PERHATIAN: catatan lapangan di atas menggambarkan gang kecil bersampah yang terhalang bekas bakar sampah, dan kolom 'Pejalan turun ke jalan'='Ya' - keduanya TIDAK mendukung adanya trotoar layak. Perlu ditinjau ulang pencatat.</t>
        </is>
      </c>
      <c r="AA35" s="3" t="n">
        <v>1</v>
      </c>
      <c r="AB35" s="3" t="n">
        <v>1.17</v>
      </c>
      <c r="AC35" s="4">
        <f>IF($K35="","",IF($K35="Ada",1,IF($K35="Sebagian",0.5,0)))</f>
        <v/>
      </c>
      <c r="AD35" s="4">
        <f>IF($K35="","",IF($K35="Tidak ada",0,IF($L35="","",MIN($L35/Panduan_W6!$B$9,1))))</f>
        <v/>
      </c>
      <c r="AE35" s="4">
        <f>IF($K35="","",IF($K35="Tidak ada",0,IF(OR($N35="",$H35=""),"",MAX(0,1-$N35/$H35))))</f>
        <v/>
      </c>
      <c r="AF35" s="4">
        <f>IF(OR($K35="",$K35="Tidak ada"),"",IF(OR($P35="",$H35=""),"",EXP(-$P35/$H35*100/Panduan_W6!$B$10)))</f>
        <v/>
      </c>
      <c r="AG35" s="4">
        <f>IF($Q35="","",IF($Q35="Tidak",1,0))</f>
        <v/>
      </c>
      <c r="AH35" s="5">
        <f>IF(ISNUMBER(AC35),Panduan_W6!$B$4,0)+IF(ISNUMBER(AD35),Panduan_W6!$B$5,0)+IF(ISNUMBER(AE35),Panduan_W6!$B$6,0)+IF(ISNUMBER(AF35),Panduan_W6!$B$7,0)+IF(ISNUMBER(AG35),Panduan_W6!$B$8,0)</f>
        <v/>
      </c>
      <c r="AI35" s="4">
        <f>IF(LEFT(AJ35,7)&lt;&gt;"Lengkap","",IF(AJ35="Lengkap (gang)",AG35,(IF(ISNUMBER(AC35),Panduan_W6!$B$4*AC35,0)+IF(ISNUMBER(AD35),Panduan_W6!$B$5*AD35,0)+IF(ISNUMBER(AE35),Panduan_W6!$B$6*AE35,0)+IF(ISNUMBER(AF35),Panduan_W6!$B$7*AF35,0)+IF(ISNUMBER(AG35),Panduan_W6!$B$8*AG35,0))/AH35))</f>
        <v/>
      </c>
      <c r="AJ35" s="6">
        <f>IF(AND(Panduan_W6!$B$11="Ya",$I35="Gang",$J35="Sepi"),IF(ISNUMBER(AG35),"Lengkap (gang)","Belum lengkap"),IF(AND(ISNUMBER(AC35),ISNUMBER(AD35),ISNUMBER(AE35),ISNUMBER(AG35),OR(ISNUMBER(AF35),$K35="Tidak ada")),"Lengkap","Belum lengkap"))</f>
        <v/>
      </c>
    </row>
    <row r="36" ht="15" customHeight="1">
      <c r="A36" s="3" t="inlineStr">
        <is>
          <t>RUAS-035</t>
        </is>
      </c>
      <c r="B36" s="3" t="inlineStr">
        <is>
          <t>Day 2</t>
        </is>
      </c>
      <c r="C36" s="3" t="inlineStr">
        <is>
          <t>KWS-03</t>
        </is>
      </c>
      <c r="D36" s="3" t="inlineStr">
        <is>
          <t>Theo</t>
        </is>
      </c>
      <c r="E36" s="3" t="inlineStr">
        <is>
          <t>2026-08-17</t>
        </is>
      </c>
      <c r="F36" s="3" t="inlineStr">
        <is>
          <t>11:46</t>
        </is>
      </c>
      <c r="G36" s="3" t="inlineStr">
        <is>
          <t xml:space="preserve">JL. Padjajaran </t>
        </is>
      </c>
      <c r="H36" s="3" t="n">
        <v>108.7</v>
      </c>
      <c r="I36" s="3" t="inlineStr">
        <is>
          <t>Jalan raya</t>
        </is>
      </c>
      <c r="J36" s="3" t="inlineStr">
        <is>
          <t>Ramai</t>
        </is>
      </c>
      <c r="K36" s="3" t="inlineStr">
        <is>
          <t>Tidak ada</t>
        </is>
      </c>
      <c r="L36" s="3" t="n">
        <v>0</v>
      </c>
      <c r="M36" s="3" t="n">
        <v>12</v>
      </c>
      <c r="N36" s="3" t="n">
        <v>0</v>
      </c>
      <c r="O36" s="3" t="inlineStr">
        <is>
          <t>tidak ada</t>
        </is>
      </c>
      <c r="P36" s="3" t="n">
        <v>0</v>
      </c>
      <c r="Q36" s="3" t="inlineStr">
        <is>
          <t>Ya</t>
        </is>
      </c>
      <c r="R36" s="3" t="n">
        <v>0</v>
      </c>
      <c r="S36" s="3" t="n">
        <v>0</v>
      </c>
      <c r="T36" s="3" t="n">
        <v>3</v>
      </c>
      <c r="U36" s="3" t="n">
        <v>0</v>
      </c>
      <c r="V36" s="3" t="n">
        <v>44.5</v>
      </c>
      <c r="W36" s="3" t="inlineStr">
        <is>
          <t>25 sampai 50 persen</t>
        </is>
      </c>
      <c r="X36" s="3" t="n">
        <v>105</v>
      </c>
      <c r="Y36" s="3" t="n">
        <v>2</v>
      </c>
      <c r="Z36" s="3" t="n"/>
      <c r="AA36" s="3" t="n">
        <v>3</v>
      </c>
      <c r="AB36" s="3" t="n">
        <v>1.04</v>
      </c>
      <c r="AC36" s="4">
        <f>IF($K36="","",IF($K36="Ada",1,IF($K36="Sebagian",0.5,0)))</f>
        <v/>
      </c>
      <c r="AD36" s="4">
        <f>IF($K36="","",IF($K36="Tidak ada",0,IF($L36="","",MIN($L36/Panduan_W6!$B$9,1))))</f>
        <v/>
      </c>
      <c r="AE36" s="4">
        <f>IF($K36="","",IF($K36="Tidak ada",0,IF(OR($N36="",$H36=""),"",MAX(0,1-$N36/$H36))))</f>
        <v/>
      </c>
      <c r="AF36" s="4">
        <f>IF(OR($K36="",$K36="Tidak ada"),"",IF(OR($P36="",$H36=""),"",EXP(-$P36/$H36*100/Panduan_W6!$B$10)))</f>
        <v/>
      </c>
      <c r="AG36" s="4">
        <f>IF($Q36="","",IF($Q36="Tidak",1,0))</f>
        <v/>
      </c>
      <c r="AH36" s="5">
        <f>IF(ISNUMBER(AC36),Panduan_W6!$B$4,0)+IF(ISNUMBER(AD36),Panduan_W6!$B$5,0)+IF(ISNUMBER(AE36),Panduan_W6!$B$6,0)+IF(ISNUMBER(AF36),Panduan_W6!$B$7,0)+IF(ISNUMBER(AG36),Panduan_W6!$B$8,0)</f>
        <v/>
      </c>
      <c r="AI36" s="4">
        <f>IF(LEFT(AJ36,7)&lt;&gt;"Lengkap","",IF(AJ36="Lengkap (gang)",AG36,(IF(ISNUMBER(AC36),Panduan_W6!$B$4*AC36,0)+IF(ISNUMBER(AD36),Panduan_W6!$B$5*AD36,0)+IF(ISNUMBER(AE36),Panduan_W6!$B$6*AE36,0)+IF(ISNUMBER(AF36),Panduan_W6!$B$7*AF36,0)+IF(ISNUMBER(AG36),Panduan_W6!$B$8*AG36,0))/AH36))</f>
        <v/>
      </c>
      <c r="AJ36" s="6">
        <f>IF(AND(Panduan_W6!$B$11="Ya",$I36="Gang",$J36="Sepi"),IF(ISNUMBER(AG36),"Lengkap (gang)","Belum lengkap"),IF(AND(ISNUMBER(AC36),ISNUMBER(AD36),ISNUMBER(AE36),ISNUMBER(AG36),OR(ISNUMBER(AF36),$K36="Tidak ada")),"Lengkap","Belum lengkap"))</f>
        <v/>
      </c>
    </row>
    <row r="37" ht="15" customHeight="1">
      <c r="A37" s="3" t="inlineStr">
        <is>
          <t>RUAS-036</t>
        </is>
      </c>
      <c r="B37" s="3" t="inlineStr">
        <is>
          <t>Day 2</t>
        </is>
      </c>
      <c r="C37" s="3" t="inlineStr">
        <is>
          <t>KWS-03</t>
        </is>
      </c>
      <c r="D37" s="3" t="inlineStr">
        <is>
          <t>Theo</t>
        </is>
      </c>
      <c r="E37" s="3" t="inlineStr">
        <is>
          <t>2026-08-17</t>
        </is>
      </c>
      <c r="F37" s="3" t="inlineStr">
        <is>
          <t>12:01</t>
        </is>
      </c>
      <c r="G37" s="3" t="inlineStr">
        <is>
          <t xml:space="preserve">Jl. perumnas </t>
        </is>
      </c>
      <c r="H37" s="3" t="n">
        <v>193</v>
      </c>
      <c r="I37" s="3" t="inlineStr">
        <is>
          <t>Jalan kecil</t>
        </is>
      </c>
      <c r="J37" s="3" t="inlineStr">
        <is>
          <t>Ramai</t>
        </is>
      </c>
      <c r="K37" s="3" t="inlineStr">
        <is>
          <t>Tidak ada</t>
        </is>
      </c>
      <c r="L37" s="3" t="n">
        <v>0</v>
      </c>
      <c r="M37" s="3" t="n">
        <v>5.6</v>
      </c>
      <c r="N37" s="3" t="n">
        <v>0</v>
      </c>
      <c r="O37" s="3" t="inlineStr">
        <is>
          <t>lainnya</t>
        </is>
      </c>
      <c r="P37" s="3" t="n">
        <v>5</v>
      </c>
      <c r="Q37" s="3" t="inlineStr">
        <is>
          <t>Ya</t>
        </is>
      </c>
      <c r="R37" s="3" t="n">
        <v>2</v>
      </c>
      <c r="S37" s="3" t="n">
        <v>0</v>
      </c>
      <c r="T37" s="3" t="n">
        <v>4</v>
      </c>
      <c r="U37" s="3" t="n">
        <v>0</v>
      </c>
      <c r="V37" s="3" t="n">
        <v>49.28</v>
      </c>
      <c r="W37" s="3" t="inlineStr">
        <is>
          <t>Di bawah 25 persen</t>
        </is>
      </c>
      <c r="X37" s="3" t="n">
        <v>156</v>
      </c>
      <c r="Y37" s="3" t="n">
        <v>2</v>
      </c>
      <c r="Z37" s="3" t="n"/>
      <c r="AA37" s="3" t="n">
        <v>2</v>
      </c>
      <c r="AB37" s="3" t="n">
        <v>1.24</v>
      </c>
      <c r="AC37" s="4">
        <f>IF($K37="","",IF($K37="Ada",1,IF($K37="Sebagian",0.5,0)))</f>
        <v/>
      </c>
      <c r="AD37" s="4">
        <f>IF($K37="","",IF($K37="Tidak ada",0,IF($L37="","",MIN($L37/Panduan_W6!$B$9,1))))</f>
        <v/>
      </c>
      <c r="AE37" s="4">
        <f>IF($K37="","",IF($K37="Tidak ada",0,IF(OR($N37="",$H37=""),"",MAX(0,1-$N37/$H37))))</f>
        <v/>
      </c>
      <c r="AF37" s="4">
        <f>IF(OR($K37="",$K37="Tidak ada"),"",IF(OR($P37="",$H37=""),"",EXP(-$P37/$H37*100/Panduan_W6!$B$10)))</f>
        <v/>
      </c>
      <c r="AG37" s="4">
        <f>IF($Q37="","",IF($Q37="Tidak",1,0))</f>
        <v/>
      </c>
      <c r="AH37" s="5">
        <f>IF(ISNUMBER(AC37),Panduan_W6!$B$4,0)+IF(ISNUMBER(AD37),Panduan_W6!$B$5,0)+IF(ISNUMBER(AE37),Panduan_W6!$B$6,0)+IF(ISNUMBER(AF37),Panduan_W6!$B$7,0)+IF(ISNUMBER(AG37),Panduan_W6!$B$8,0)</f>
        <v/>
      </c>
      <c r="AI37" s="4">
        <f>IF(LEFT(AJ37,7)&lt;&gt;"Lengkap","",IF(AJ37="Lengkap (gang)",AG37,(IF(ISNUMBER(AC37),Panduan_W6!$B$4*AC37,0)+IF(ISNUMBER(AD37),Panduan_W6!$B$5*AD37,0)+IF(ISNUMBER(AE37),Panduan_W6!$B$6*AE37,0)+IF(ISNUMBER(AF37),Panduan_W6!$B$7*AF37,0)+IF(ISNUMBER(AG37),Panduan_W6!$B$8*AG37,0))/AH37))</f>
        <v/>
      </c>
      <c r="AJ37" s="6">
        <f>IF(AND(Panduan_W6!$B$11="Ya",$I37="Gang",$J37="Sepi"),IF(ISNUMBER(AG37),"Lengkap (gang)","Belum lengkap"),IF(AND(ISNUMBER(AC37),ISNUMBER(AD37),ISNUMBER(AE37),ISNUMBER(AG37),OR(ISNUMBER(AF37),$K37="Tidak ada")),"Lengkap","Belum lengkap"))</f>
        <v/>
      </c>
    </row>
    <row r="38" ht="15" customHeight="1">
      <c r="A38" s="3" t="inlineStr">
        <is>
          <t>RUAS-037</t>
        </is>
      </c>
      <c r="B38" s="3" t="inlineStr">
        <is>
          <t>Day 2</t>
        </is>
      </c>
      <c r="C38" s="3" t="inlineStr">
        <is>
          <t>KWS-03</t>
        </is>
      </c>
      <c r="D38" s="3" t="inlineStr">
        <is>
          <t>Theo</t>
        </is>
      </c>
      <c r="E38" s="3" t="inlineStr">
        <is>
          <t>2026-08-17</t>
        </is>
      </c>
      <c r="F38" s="3" t="inlineStr">
        <is>
          <t>12:10</t>
        </is>
      </c>
      <c r="G38" s="3" t="inlineStr">
        <is>
          <t>JL. upn (bagian belakang)</t>
        </is>
      </c>
      <c r="H38" s="3" t="n">
        <v>85.3</v>
      </c>
      <c r="I38" s="3" t="inlineStr">
        <is>
          <t>Jalan kecil</t>
        </is>
      </c>
      <c r="J38" s="3" t="inlineStr">
        <is>
          <t>Sepi</t>
        </is>
      </c>
      <c r="K38" s="3" t="inlineStr">
        <is>
          <t>Tidak ada</t>
        </is>
      </c>
      <c r="L38" s="3" t="n">
        <v>0</v>
      </c>
      <c r="M38" s="3" t="n">
        <v>3.7</v>
      </c>
      <c r="N38" s="3" t="n">
        <v>0</v>
      </c>
      <c r="O38" s="3" t="inlineStr">
        <is>
          <t>tidak ada</t>
        </is>
      </c>
      <c r="P38" s="3" t="n">
        <v>1</v>
      </c>
      <c r="Q38" s="3" t="inlineStr">
        <is>
          <t>Ya</t>
        </is>
      </c>
      <c r="R38" s="3" t="n">
        <v>0</v>
      </c>
      <c r="S38" s="3" t="n">
        <v>0</v>
      </c>
      <c r="T38" s="3" t="n">
        <v>0</v>
      </c>
      <c r="U38" s="3" t="n">
        <v>0</v>
      </c>
      <c r="V38" s="3" t="n"/>
      <c r="W38" s="3" t="inlineStr">
        <is>
          <t>Di atas 50 persen</t>
        </is>
      </c>
      <c r="X38" s="3" t="n">
        <v>65</v>
      </c>
      <c r="Y38" s="3" t="n">
        <v>2</v>
      </c>
      <c r="Z38" s="3" t="inlineStr">
        <is>
          <t>lapangan sepak bola luas, gaada lampu, tapi teduh</t>
        </is>
      </c>
      <c r="AA38" s="3" t="n">
        <v>2</v>
      </c>
      <c r="AB38" s="3" t="n">
        <v>1.31</v>
      </c>
      <c r="AC38" s="4">
        <f>IF($K38="","",IF($K38="Ada",1,IF($K38="Sebagian",0.5,0)))</f>
        <v/>
      </c>
      <c r="AD38" s="4">
        <f>IF($K38="","",IF($K38="Tidak ada",0,IF($L38="","",MIN($L38/Panduan_W6!$B$9,1))))</f>
        <v/>
      </c>
      <c r="AE38" s="4">
        <f>IF($K38="","",IF($K38="Tidak ada",0,IF(OR($N38="",$H38=""),"",MAX(0,1-$N38/$H38))))</f>
        <v/>
      </c>
      <c r="AF38" s="4">
        <f>IF(OR($K38="",$K38="Tidak ada"),"",IF(OR($P38="",$H38=""),"",EXP(-$P38/$H38*100/Panduan_W6!$B$10)))</f>
        <v/>
      </c>
      <c r="AG38" s="4">
        <f>IF($Q38="","",IF($Q38="Tidak",1,0))</f>
        <v/>
      </c>
      <c r="AH38" s="5">
        <f>IF(ISNUMBER(AC38),Panduan_W6!$B$4,0)+IF(ISNUMBER(AD38),Panduan_W6!$B$5,0)+IF(ISNUMBER(AE38),Panduan_W6!$B$6,0)+IF(ISNUMBER(AF38),Panduan_W6!$B$7,0)+IF(ISNUMBER(AG38),Panduan_W6!$B$8,0)</f>
        <v/>
      </c>
      <c r="AI38" s="4">
        <f>IF(LEFT(AJ38,7)&lt;&gt;"Lengkap","",IF(AJ38="Lengkap (gang)",AG38,(IF(ISNUMBER(AC38),Panduan_W6!$B$4*AC38,0)+IF(ISNUMBER(AD38),Panduan_W6!$B$5*AD38,0)+IF(ISNUMBER(AE38),Panduan_W6!$B$6*AE38,0)+IF(ISNUMBER(AF38),Panduan_W6!$B$7*AF38,0)+IF(ISNUMBER(AG38),Panduan_W6!$B$8*AG38,0))/AH38))</f>
        <v/>
      </c>
      <c r="AJ38" s="6">
        <f>IF(AND(Panduan_W6!$B$11="Ya",$I38="Gang",$J38="Sepi"),IF(ISNUMBER(AG38),"Lengkap (gang)","Belum lengkap"),IF(AND(ISNUMBER(AC38),ISNUMBER(AD38),ISNUMBER(AE38),ISNUMBER(AG38),OR(ISNUMBER(AF38),$K38="Tidak ada")),"Lengkap","Belum lengkap"))</f>
        <v/>
      </c>
    </row>
    <row r="39" ht="15" customHeight="1">
      <c r="A39" s="3" t="inlineStr">
        <is>
          <t>RUAS-038</t>
        </is>
      </c>
      <c r="B39" s="3" t="inlineStr">
        <is>
          <t>Day 2</t>
        </is>
      </c>
      <c r="C39" s="3" t="inlineStr">
        <is>
          <t>KWS-03</t>
        </is>
      </c>
      <c r="D39" s="3" t="inlineStr">
        <is>
          <t>Andalan</t>
        </is>
      </c>
      <c r="E39" s="3" t="inlineStr">
        <is>
          <t>2026-08-17</t>
        </is>
      </c>
      <c r="F39" s="3" t="inlineStr">
        <is>
          <t>12:13</t>
        </is>
      </c>
      <c r="G39" s="3" t="inlineStr">
        <is>
          <t>lanjutan Jl. UPN RUAS-034</t>
        </is>
      </c>
      <c r="H39" s="3" t="n">
        <v>140</v>
      </c>
      <c r="I39" s="3" t="inlineStr">
        <is>
          <t>Jalan kecil</t>
        </is>
      </c>
      <c r="J39" s="3" t="inlineStr">
        <is>
          <t>Sepi</t>
        </is>
      </c>
      <c r="K39" s="3" t="inlineStr">
        <is>
          <t>Tidak ada</t>
        </is>
      </c>
      <c r="L39" s="3" t="n">
        <v>0</v>
      </c>
      <c r="M39" s="3" t="n">
        <v>4</v>
      </c>
      <c r="N39" s="3" t="n">
        <v>0</v>
      </c>
      <c r="O39" s="3" t="inlineStr">
        <is>
          <t>tidak ada</t>
        </is>
      </c>
      <c r="P39" s="3" t="n">
        <v>2</v>
      </c>
      <c r="Q39" s="3" t="inlineStr">
        <is>
          <t>Ya</t>
        </is>
      </c>
      <c r="R39" s="3" t="n">
        <v>0</v>
      </c>
      <c r="S39" s="3" t="n">
        <v>0</v>
      </c>
      <c r="T39" s="3" t="n">
        <v>2</v>
      </c>
      <c r="U39" s="3" t="n">
        <v>0</v>
      </c>
      <c r="V39" s="3" t="n">
        <v>22</v>
      </c>
      <c r="W39" s="3" t="inlineStr">
        <is>
          <t>25 sampai 50 persen</t>
        </is>
      </c>
      <c r="X39" s="3" t="n">
        <v>120</v>
      </c>
      <c r="Y39" s="3" t="n"/>
      <c r="Z39" s="3" t="n"/>
      <c r="AA39" s="3" t="n">
        <v>2</v>
      </c>
      <c r="AB39" s="3" t="n">
        <v>1.17</v>
      </c>
      <c r="AC39" s="4">
        <f>IF($K39="","",IF($K39="Ada",1,IF($K39="Sebagian",0.5,0)))</f>
        <v/>
      </c>
      <c r="AD39" s="4">
        <f>IF($K39="","",IF($K39="Tidak ada",0,IF($L39="","",MIN($L39/Panduan_W6!$B$9,1))))</f>
        <v/>
      </c>
      <c r="AE39" s="4">
        <f>IF($K39="","",IF($K39="Tidak ada",0,IF(OR($N39="",$H39=""),"",MAX(0,1-$N39/$H39))))</f>
        <v/>
      </c>
      <c r="AF39" s="4">
        <f>IF(OR($K39="",$K39="Tidak ada"),"",IF(OR($P39="",$H39=""),"",EXP(-$P39/$H39*100/Panduan_W6!$B$10)))</f>
        <v/>
      </c>
      <c r="AG39" s="4">
        <f>IF($Q39="","",IF($Q39="Tidak",1,0))</f>
        <v/>
      </c>
      <c r="AH39" s="5">
        <f>IF(ISNUMBER(AC39),Panduan_W6!$B$4,0)+IF(ISNUMBER(AD39),Panduan_W6!$B$5,0)+IF(ISNUMBER(AE39),Panduan_W6!$B$6,0)+IF(ISNUMBER(AF39),Panduan_W6!$B$7,0)+IF(ISNUMBER(AG39),Panduan_W6!$B$8,0)</f>
        <v/>
      </c>
      <c r="AI39" s="4">
        <f>IF(LEFT(AJ39,7)&lt;&gt;"Lengkap","",IF(AJ39="Lengkap (gang)",AG39,(IF(ISNUMBER(AC39),Panduan_W6!$B$4*AC39,0)+IF(ISNUMBER(AD39),Panduan_W6!$B$5*AD39,0)+IF(ISNUMBER(AE39),Panduan_W6!$B$6*AE39,0)+IF(ISNUMBER(AF39),Panduan_W6!$B$7*AF39,0)+IF(ISNUMBER(AG39),Panduan_W6!$B$8*AG39,0))/AH39))</f>
        <v/>
      </c>
      <c r="AJ39" s="6">
        <f>IF(AND(Panduan_W6!$B$11="Ya",$I39="Gang",$J39="Sepi"),IF(ISNUMBER(AG39),"Lengkap (gang)","Belum lengkap"),IF(AND(ISNUMBER(AC39),ISNUMBER(AD39),ISNUMBER(AE39),ISNUMBER(AG39),OR(ISNUMBER(AF39),$K39="Tidak ada")),"Lengkap","Belum lengkap"))</f>
        <v/>
      </c>
    </row>
    <row r="40" ht="15" customHeight="1">
      <c r="A40" s="3" t="inlineStr">
        <is>
          <t>RUAS-039</t>
        </is>
      </c>
      <c r="B40" s="3" t="inlineStr">
        <is>
          <t>Day 2</t>
        </is>
      </c>
      <c r="C40" s="3" t="inlineStr">
        <is>
          <t>KWS-03</t>
        </is>
      </c>
      <c r="D40" s="3" t="inlineStr">
        <is>
          <t>Theo</t>
        </is>
      </c>
      <c r="E40" s="3" t="inlineStr">
        <is>
          <t>2026-08-17</t>
        </is>
      </c>
      <c r="F40" s="3" t="inlineStr">
        <is>
          <t>12:24</t>
        </is>
      </c>
      <c r="G40" s="3" t="inlineStr">
        <is>
          <t xml:space="preserve">Jl. Padjadjaran </t>
        </is>
      </c>
      <c r="H40" s="3" t="n">
        <v>108.7</v>
      </c>
      <c r="I40" s="3" t="inlineStr">
        <is>
          <t>Jalan raya</t>
        </is>
      </c>
      <c r="J40" s="3" t="inlineStr">
        <is>
          <t>Ramai</t>
        </is>
      </c>
      <c r="K40" s="3" t="inlineStr">
        <is>
          <t>Tidak ada</t>
        </is>
      </c>
      <c r="L40" s="3" t="n">
        <v>0</v>
      </c>
      <c r="M40" s="3" t="n">
        <v>10.5</v>
      </c>
      <c r="N40" s="3" t="n"/>
      <c r="O40" s="3" t="inlineStr">
        <is>
          <t>tidak ada</t>
        </is>
      </c>
      <c r="P40" s="3" t="n">
        <v>16</v>
      </c>
      <c r="Q40" s="3" t="inlineStr">
        <is>
          <t>Ya</t>
        </is>
      </c>
      <c r="R40" s="3" t="n">
        <v>0</v>
      </c>
      <c r="S40" s="3" t="n">
        <v>0</v>
      </c>
      <c r="T40" s="3" t="n">
        <v>3</v>
      </c>
      <c r="U40" s="3" t="n">
        <v>0</v>
      </c>
      <c r="V40" s="3" t="n">
        <v>44.5</v>
      </c>
      <c r="W40" s="3" t="inlineStr">
        <is>
          <t>Di bawah 25 persen</t>
        </is>
      </c>
      <c r="X40" s="3" t="n">
        <v>138</v>
      </c>
      <c r="Y40" s="3" t="n">
        <v>2</v>
      </c>
      <c r="Z40" s="3" t="n"/>
      <c r="AA40" s="3" t="n">
        <v>3</v>
      </c>
      <c r="AB40" s="3" t="n">
        <v>0.79</v>
      </c>
      <c r="AC40" s="4">
        <f>IF($K40="","",IF($K40="Ada",1,IF($K40="Sebagian",0.5,0)))</f>
        <v/>
      </c>
      <c r="AD40" s="4">
        <f>IF($K40="","",IF($K40="Tidak ada",0,IF($L40="","",MIN($L40/Panduan_W6!$B$9,1))))</f>
        <v/>
      </c>
      <c r="AE40" s="4">
        <f>IF($K40="","",IF($K40="Tidak ada",0,IF(OR($N40="",$H40=""),"",MAX(0,1-$N40/$H40))))</f>
        <v/>
      </c>
      <c r="AF40" s="4">
        <f>IF(OR($K40="",$K40="Tidak ada"),"",IF(OR($P40="",$H40=""),"",EXP(-$P40/$H40*100/Panduan_W6!$B$10)))</f>
        <v/>
      </c>
      <c r="AG40" s="4">
        <f>IF($Q40="","",IF($Q40="Tidak",1,0))</f>
        <v/>
      </c>
      <c r="AH40" s="5">
        <f>IF(ISNUMBER(AC40),Panduan_W6!$B$4,0)+IF(ISNUMBER(AD40),Panduan_W6!$B$5,0)+IF(ISNUMBER(AE40),Panduan_W6!$B$6,0)+IF(ISNUMBER(AF40),Panduan_W6!$B$7,0)+IF(ISNUMBER(AG40),Panduan_W6!$B$8,0)</f>
        <v/>
      </c>
      <c r="AI40" s="4">
        <f>IF(LEFT(AJ40,7)&lt;&gt;"Lengkap","",IF(AJ40="Lengkap (gang)",AG40,(IF(ISNUMBER(AC40),Panduan_W6!$B$4*AC40,0)+IF(ISNUMBER(AD40),Panduan_W6!$B$5*AD40,0)+IF(ISNUMBER(AE40),Panduan_W6!$B$6*AE40,0)+IF(ISNUMBER(AF40),Panduan_W6!$B$7*AF40,0)+IF(ISNUMBER(AG40),Panduan_W6!$B$8*AG40,0))/AH40))</f>
        <v/>
      </c>
      <c r="AJ40" s="6">
        <f>IF(AND(Panduan_W6!$B$11="Ya",$I40="Gang",$J40="Sepi"),IF(ISNUMBER(AG40),"Lengkap (gang)","Belum lengkap"),IF(AND(ISNUMBER(AC40),ISNUMBER(AD40),ISNUMBER(AE40),ISNUMBER(AG40),OR(ISNUMBER(AF40),$K40="Tidak ada")),"Lengkap","Belum lengkap"))</f>
        <v/>
      </c>
    </row>
    <row r="41" ht="15" customHeight="1">
      <c r="A41" s="3" t="inlineStr">
        <is>
          <t>RUAS-040</t>
        </is>
      </c>
      <c r="B41" s="3" t="inlineStr">
        <is>
          <t>Day 2</t>
        </is>
      </c>
      <c r="C41" s="3" t="inlineStr">
        <is>
          <t>KWS-12</t>
        </is>
      </c>
      <c r="D41" s="3" t="inlineStr">
        <is>
          <t>Devon</t>
        </is>
      </c>
      <c r="E41" s="3" t="inlineStr">
        <is>
          <t>2026-08-17</t>
        </is>
      </c>
      <c r="F41" s="3" t="inlineStr">
        <is>
          <t>12:32</t>
        </is>
      </c>
      <c r="G41" s="3" t="inlineStr">
        <is>
          <t>jalan dalam sisi barat Jl. ring road utara</t>
        </is>
      </c>
      <c r="H41" s="3" t="n">
        <v>160</v>
      </c>
      <c r="I41" s="3" t="inlineStr">
        <is>
          <t>Gang</t>
        </is>
      </c>
      <c r="J41" s="3" t="inlineStr">
        <is>
          <t>Sepi</t>
        </is>
      </c>
      <c r="K41" s="3" t="inlineStr">
        <is>
          <t>Tidak ada</t>
        </is>
      </c>
      <c r="L41" s="3" t="n">
        <v>0</v>
      </c>
      <c r="M41" s="3" t="n">
        <v>3.5</v>
      </c>
      <c r="N41" s="3" t="n">
        <v>0</v>
      </c>
      <c r="O41" s="3" t="inlineStr">
        <is>
          <t>tidak ada</t>
        </is>
      </c>
      <c r="P41" s="3" t="n">
        <v>0</v>
      </c>
      <c r="Q41" s="3" t="inlineStr">
        <is>
          <t>Ya</t>
        </is>
      </c>
      <c r="R41" s="3" t="n">
        <v>0</v>
      </c>
      <c r="S41" s="3" t="n">
        <v>0</v>
      </c>
      <c r="T41" s="3" t="n">
        <v>0</v>
      </c>
      <c r="U41" s="3" t="n">
        <v>0</v>
      </c>
      <c r="V41" s="3" t="n">
        <v>0</v>
      </c>
      <c r="W41" s="3" t="inlineStr">
        <is>
          <t>Di atas 50 persen</t>
        </is>
      </c>
      <c r="X41" s="3" t="n">
        <v>164</v>
      </c>
      <c r="Y41" s="3" t="n">
        <v>2</v>
      </c>
      <c r="Z41" s="3" t="inlineStr">
        <is>
          <t>nihil lampu jalan. Satu satunya penerangan hanya berasal dari lampu luar rumah warga. Tingkat keteduhan tinggi. Banyak rontokan dedaunan</t>
        </is>
      </c>
      <c r="AA41" s="3" t="n">
        <v>2</v>
      </c>
      <c r="AB41" s="3" t="n">
        <v>0.98</v>
      </c>
      <c r="AC41" s="4">
        <f>IF($K41="","",IF($K41="Ada",1,IF($K41="Sebagian",0.5,0)))</f>
        <v/>
      </c>
      <c r="AD41" s="4">
        <f>IF($K41="","",IF($K41="Tidak ada",0,IF($L41="","",MIN($L41/Panduan_W6!$B$9,1))))</f>
        <v/>
      </c>
      <c r="AE41" s="4">
        <f>IF($K41="","",IF($K41="Tidak ada",0,IF(OR($N41="",$H41=""),"",MAX(0,1-$N41/$H41))))</f>
        <v/>
      </c>
      <c r="AF41" s="4">
        <f>IF(OR($K41="",$K41="Tidak ada"),"",IF(OR($P41="",$H41=""),"",EXP(-$P41/$H41*100/Panduan_W6!$B$10)))</f>
        <v/>
      </c>
      <c r="AG41" s="4">
        <f>IF($Q41="","",IF($Q41="Tidak",1,0))</f>
        <v/>
      </c>
      <c r="AH41" s="5">
        <f>IF(ISNUMBER(AC41),Panduan_W6!$B$4,0)+IF(ISNUMBER(AD41),Panduan_W6!$B$5,0)+IF(ISNUMBER(AE41),Panduan_W6!$B$6,0)+IF(ISNUMBER(AF41),Panduan_W6!$B$7,0)+IF(ISNUMBER(AG41),Panduan_W6!$B$8,0)</f>
        <v/>
      </c>
      <c r="AI41" s="4">
        <f>IF(LEFT(AJ41,7)&lt;&gt;"Lengkap","",IF(AJ41="Lengkap (gang)",AG41,(IF(ISNUMBER(AC41),Panduan_W6!$B$4*AC41,0)+IF(ISNUMBER(AD41),Panduan_W6!$B$5*AD41,0)+IF(ISNUMBER(AE41),Panduan_W6!$B$6*AE41,0)+IF(ISNUMBER(AF41),Panduan_W6!$B$7*AF41,0)+IF(ISNUMBER(AG41),Panduan_W6!$B$8*AG41,0))/AH41))</f>
        <v/>
      </c>
      <c r="AJ41" s="6">
        <f>IF(AND(Panduan_W6!$B$11="Ya",$I41="Gang",$J41="Sepi"),IF(ISNUMBER(AG41),"Lengkap (gang)","Belum lengkap"),IF(AND(ISNUMBER(AC41),ISNUMBER(AD41),ISNUMBER(AE41),ISNUMBER(AG41),OR(ISNUMBER(AF41),$K41="Tidak ada")),"Lengkap","Belum lengkap"))</f>
        <v/>
      </c>
    </row>
    <row r="42" ht="15" customHeight="1">
      <c r="A42" s="3" t="inlineStr">
        <is>
          <t>RUAS-041</t>
        </is>
      </c>
      <c r="B42" s="3" t="inlineStr">
        <is>
          <t>Day 2</t>
        </is>
      </c>
      <c r="C42" s="3" t="inlineStr">
        <is>
          <t>KWS-12</t>
        </is>
      </c>
      <c r="D42" s="3" t="inlineStr">
        <is>
          <t>Devon</t>
        </is>
      </c>
      <c r="E42" s="3" t="inlineStr">
        <is>
          <t>2026-08-17</t>
        </is>
      </c>
      <c r="F42" s="3" t="inlineStr">
        <is>
          <t>13:05</t>
        </is>
      </c>
      <c r="G42" s="3" t="inlineStr">
        <is>
          <t>Jl. Ring Road Utara, Maguwoharjo</t>
        </is>
      </c>
      <c r="H42" s="3" t="n">
        <v>130</v>
      </c>
      <c r="I42" s="3" t="inlineStr">
        <is>
          <t>Jalan raya</t>
        </is>
      </c>
      <c r="J42" s="3" t="inlineStr">
        <is>
          <t>Ramai</t>
        </is>
      </c>
      <c r="K42" s="3" t="inlineStr">
        <is>
          <t>Ada</t>
        </is>
      </c>
      <c r="L42" s="3" t="n">
        <v>1.5</v>
      </c>
      <c r="M42" s="3" t="n">
        <v>20</v>
      </c>
      <c r="N42" s="3" t="n">
        <v>0</v>
      </c>
      <c r="O42" s="3" t="inlineStr">
        <is>
          <t>tidak ada</t>
        </is>
      </c>
      <c r="P42" s="3" t="n">
        <v>0</v>
      </c>
      <c r="Q42" s="3" t="inlineStr">
        <is>
          <t>Tidak</t>
        </is>
      </c>
      <c r="R42" s="3" t="n">
        <v>0</v>
      </c>
      <c r="S42" s="3" t="n">
        <v>0</v>
      </c>
      <c r="T42" s="3" t="n">
        <v>4</v>
      </c>
      <c r="U42" s="3" t="n">
        <v>0</v>
      </c>
      <c r="V42" s="3" t="n">
        <v>30</v>
      </c>
      <c r="W42" s="3" t="inlineStr">
        <is>
          <t>Nihil</t>
        </is>
      </c>
      <c r="X42" s="3" t="n">
        <v>136</v>
      </c>
      <c r="Y42" s="3" t="n">
        <v>2</v>
      </c>
      <c r="Z42" s="3" t="n"/>
      <c r="AA42" s="3" t="n">
        <v>4</v>
      </c>
      <c r="AB42" s="3" t="n">
        <v>0.96</v>
      </c>
      <c r="AC42" s="4">
        <f>IF($K42="","",IF($K42="Ada",1,IF($K42="Sebagian",0.5,0)))</f>
        <v/>
      </c>
      <c r="AD42" s="4">
        <f>IF($K42="","",IF($K42="Tidak ada",0,IF($L42="","",MIN($L42/Panduan_W6!$B$9,1))))</f>
        <v/>
      </c>
      <c r="AE42" s="4">
        <f>IF($K42="","",IF($K42="Tidak ada",0,IF(OR($N42="",$H42=""),"",MAX(0,1-$N42/$H42))))</f>
        <v/>
      </c>
      <c r="AF42" s="4">
        <f>IF(OR($K42="",$K42="Tidak ada"),"",IF(OR($P42="",$H42=""),"",EXP(-$P42/$H42*100/Panduan_W6!$B$10)))</f>
        <v/>
      </c>
      <c r="AG42" s="4">
        <f>IF($Q42="","",IF($Q42="Tidak",1,0))</f>
        <v/>
      </c>
      <c r="AH42" s="5">
        <f>IF(ISNUMBER(AC42),Panduan_W6!$B$4,0)+IF(ISNUMBER(AD42),Panduan_W6!$B$5,0)+IF(ISNUMBER(AE42),Panduan_W6!$B$6,0)+IF(ISNUMBER(AF42),Panduan_W6!$B$7,0)+IF(ISNUMBER(AG42),Panduan_W6!$B$8,0)</f>
        <v/>
      </c>
      <c r="AI42" s="4">
        <f>IF(LEFT(AJ42,7)&lt;&gt;"Lengkap","",IF(AJ42="Lengkap (gang)",AG42,(IF(ISNUMBER(AC42),Panduan_W6!$B$4*AC42,0)+IF(ISNUMBER(AD42),Panduan_W6!$B$5*AD42,0)+IF(ISNUMBER(AE42),Panduan_W6!$B$6*AE42,0)+IF(ISNUMBER(AF42),Panduan_W6!$B$7*AF42,0)+IF(ISNUMBER(AG42),Panduan_W6!$B$8*AG42,0))/AH42))</f>
        <v/>
      </c>
      <c r="AJ42" s="6">
        <f>IF(AND(Panduan_W6!$B$11="Ya",$I42="Gang",$J42="Sepi"),IF(ISNUMBER(AG42),"Lengkap (gang)","Belum lengkap"),IF(AND(ISNUMBER(AC42),ISNUMBER(AD42),ISNUMBER(AE42),ISNUMBER(AG42),OR(ISNUMBER(AF42),$K42="Tidak ada")),"Lengkap","Belum lengkap"))</f>
        <v/>
      </c>
    </row>
    <row r="43" ht="15" customHeight="1">
      <c r="A43" s="3" t="inlineStr">
        <is>
          <t>RUAS-042</t>
        </is>
      </c>
      <c r="B43" s="3" t="inlineStr">
        <is>
          <t>Day 2</t>
        </is>
      </c>
      <c r="C43" s="3" t="inlineStr">
        <is>
          <t>KWS-12</t>
        </is>
      </c>
      <c r="D43" s="3" t="inlineStr">
        <is>
          <t>Devon</t>
        </is>
      </c>
      <c r="E43" s="3" t="inlineStr">
        <is>
          <t>2026-08-17</t>
        </is>
      </c>
      <c r="F43" s="3" t="inlineStr">
        <is>
          <t>12:58</t>
        </is>
      </c>
      <c r="G43" s="3" t="inlineStr">
        <is>
          <t>Jl. Ring Road Utara, Maguwoharjo</t>
        </is>
      </c>
      <c r="H43" s="3" t="n"/>
      <c r="I43" s="3" t="inlineStr">
        <is>
          <t>Jalan raya</t>
        </is>
      </c>
      <c r="J43" s="3" t="inlineStr">
        <is>
          <t>Ramai</t>
        </is>
      </c>
      <c r="K43" s="3" t="inlineStr">
        <is>
          <t>Ada</t>
        </is>
      </c>
      <c r="L43" s="3" t="n">
        <v>1.5</v>
      </c>
      <c r="M43" s="3" t="n">
        <v>20</v>
      </c>
      <c r="N43" s="3" t="n">
        <v>0</v>
      </c>
      <c r="O43" s="3" t="inlineStr">
        <is>
          <t>tidak ada</t>
        </is>
      </c>
      <c r="P43" s="3" t="n">
        <v>0</v>
      </c>
      <c r="Q43" s="3" t="inlineStr">
        <is>
          <t>Tidak</t>
        </is>
      </c>
      <c r="R43" s="3" t="n">
        <v>0</v>
      </c>
      <c r="S43" s="3" t="n">
        <v>0</v>
      </c>
      <c r="T43" s="3" t="n">
        <v>5</v>
      </c>
      <c r="U43" s="3" t="n">
        <v>1</v>
      </c>
      <c r="V43" s="3" t="n">
        <v>30</v>
      </c>
      <c r="W43" s="3" t="inlineStr">
        <is>
          <t>Nihil</t>
        </is>
      </c>
      <c r="X43" s="3" t="n">
        <v>133</v>
      </c>
      <c r="Y43" s="3" t="n">
        <v>2</v>
      </c>
      <c r="Z43" s="3" t="inlineStr">
        <is>
          <t>terdapat tiang lampu yang rusak. Sudah bengkok, dan bagian bawahnya di cor untuk mencegah jatuh.</t>
        </is>
      </c>
      <c r="AA43" s="3" t="n">
        <v>4</v>
      </c>
      <c r="AB43" s="3" t="n"/>
      <c r="AC43" s="4">
        <f>IF($K43="","",IF($K43="Ada",1,IF($K43="Sebagian",0.5,0)))</f>
        <v/>
      </c>
      <c r="AD43" s="4">
        <f>IF($K43="","",IF($K43="Tidak ada",0,IF($L43="","",MIN($L43/Panduan_W6!$B$9,1))))</f>
        <v/>
      </c>
      <c r="AE43" s="4">
        <f>IF($K43="","",IF($K43="Tidak ada",0,IF(OR($N43="",$H43=""),"",MAX(0,1-$N43/$H43))))</f>
        <v/>
      </c>
      <c r="AF43" s="4">
        <f>IF(OR($K43="",$K43="Tidak ada"),"",IF(OR($P43="",$H43=""),"",EXP(-$P43/$H43*100/Panduan_W6!$B$10)))</f>
        <v/>
      </c>
      <c r="AG43" s="4">
        <f>IF($Q43="","",IF($Q43="Tidak",1,0))</f>
        <v/>
      </c>
      <c r="AH43" s="5">
        <f>IF(ISNUMBER(AC43),Panduan_W6!$B$4,0)+IF(ISNUMBER(AD43),Panduan_W6!$B$5,0)+IF(ISNUMBER(AE43),Panduan_W6!$B$6,0)+IF(ISNUMBER(AF43),Panduan_W6!$B$7,0)+IF(ISNUMBER(AG43),Panduan_W6!$B$8,0)</f>
        <v/>
      </c>
      <c r="AI43" s="4">
        <f>IF(LEFT(AJ43,7)&lt;&gt;"Lengkap","",IF(AJ43="Lengkap (gang)",AG43,(IF(ISNUMBER(AC43),Panduan_W6!$B$4*AC43,0)+IF(ISNUMBER(AD43),Panduan_W6!$B$5*AD43,0)+IF(ISNUMBER(AE43),Panduan_W6!$B$6*AE43,0)+IF(ISNUMBER(AF43),Panduan_W6!$B$7*AF43,0)+IF(ISNUMBER(AG43),Panduan_W6!$B$8*AG43,0))/AH43))</f>
        <v/>
      </c>
      <c r="AJ43" s="6">
        <f>IF(AND(Panduan_W6!$B$11="Ya",$I43="Gang",$J43="Sepi"),IF(ISNUMBER(AG43),"Lengkap (gang)","Belum lengkap"),IF(AND(ISNUMBER(AC43),ISNUMBER(AD43),ISNUMBER(AE43),ISNUMBER(AG43),OR(ISNUMBER(AF43),$K43="Tidak ada")),"Lengkap","Belum lengkap"))</f>
        <v/>
      </c>
    </row>
    <row r="44" ht="15" customHeight="1">
      <c r="A44" s="3" t="inlineStr">
        <is>
          <t>RUAS-043</t>
        </is>
      </c>
      <c r="B44" s="3" t="inlineStr">
        <is>
          <t>Day 2</t>
        </is>
      </c>
      <c r="C44" s="3" t="inlineStr">
        <is>
          <t>KWS-05</t>
        </is>
      </c>
      <c r="D44" s="3" t="inlineStr">
        <is>
          <t>Theo</t>
        </is>
      </c>
      <c r="E44" s="3" t="inlineStr">
        <is>
          <t>2026-08-17</t>
        </is>
      </c>
      <c r="F44" s="3" t="inlineStr">
        <is>
          <t>14:13</t>
        </is>
      </c>
      <c r="G44" s="3" t="inlineStr">
        <is>
          <t>Jl.Anggajaya</t>
        </is>
      </c>
      <c r="H44" s="3" t="n">
        <v>102.04</v>
      </c>
      <c r="I44" s="3" t="inlineStr">
        <is>
          <t>Jalan raya</t>
        </is>
      </c>
      <c r="J44" s="3" t="inlineStr">
        <is>
          <t>Ramai</t>
        </is>
      </c>
      <c r="K44" s="3" t="inlineStr">
        <is>
          <t>Tidak ada</t>
        </is>
      </c>
      <c r="L44" s="3" t="n">
        <v>0</v>
      </c>
      <c r="M44" s="3" t="n">
        <v>7.36</v>
      </c>
      <c r="N44" s="3" t="n">
        <v>0</v>
      </c>
      <c r="O44" s="3" t="inlineStr">
        <is>
          <t>lainnya</t>
        </is>
      </c>
      <c r="P44" s="3" t="n">
        <v>0</v>
      </c>
      <c r="Q44" s="3" t="inlineStr">
        <is>
          <t>Ya</t>
        </is>
      </c>
      <c r="R44" s="3" t="n">
        <v>0</v>
      </c>
      <c r="S44" s="3" t="n">
        <v>0</v>
      </c>
      <c r="T44" s="3" t="n">
        <v>3</v>
      </c>
      <c r="U44" s="3" t="n">
        <v>0</v>
      </c>
      <c r="V44" s="3" t="n">
        <v>32.5</v>
      </c>
      <c r="W44" s="3" t="inlineStr">
        <is>
          <t>Di bawah 25 persen</t>
        </is>
      </c>
      <c r="X44" s="3" t="n">
        <v>200</v>
      </c>
      <c r="Y44" s="3" t="n"/>
      <c r="Z44" s="3" t="n"/>
      <c r="AA44" s="3" t="n">
        <v>2</v>
      </c>
      <c r="AB44" s="3" t="n">
        <v>0.51</v>
      </c>
      <c r="AC44" s="4">
        <f>IF($K44="","",IF($K44="Ada",1,IF($K44="Sebagian",0.5,0)))</f>
        <v/>
      </c>
      <c r="AD44" s="4">
        <f>IF($K44="","",IF($K44="Tidak ada",0,IF($L44="","",MIN($L44/Panduan_W6!$B$9,1))))</f>
        <v/>
      </c>
      <c r="AE44" s="4">
        <f>IF($K44="","",IF($K44="Tidak ada",0,IF(OR($N44="",$H44=""),"",MAX(0,1-$N44/$H44))))</f>
        <v/>
      </c>
      <c r="AF44" s="4">
        <f>IF(OR($K44="",$K44="Tidak ada"),"",IF(OR($P44="",$H44=""),"",EXP(-$P44/$H44*100/Panduan_W6!$B$10)))</f>
        <v/>
      </c>
      <c r="AG44" s="4">
        <f>IF($Q44="","",IF($Q44="Tidak",1,0))</f>
        <v/>
      </c>
      <c r="AH44" s="5">
        <f>IF(ISNUMBER(AC44),Panduan_W6!$B$4,0)+IF(ISNUMBER(AD44),Panduan_W6!$B$5,0)+IF(ISNUMBER(AE44),Panduan_W6!$B$6,0)+IF(ISNUMBER(AF44),Panduan_W6!$B$7,0)+IF(ISNUMBER(AG44),Panduan_W6!$B$8,0)</f>
        <v/>
      </c>
      <c r="AI44" s="4">
        <f>IF(LEFT(AJ44,7)&lt;&gt;"Lengkap","",IF(AJ44="Lengkap (gang)",AG44,(IF(ISNUMBER(AC44),Panduan_W6!$B$4*AC44,0)+IF(ISNUMBER(AD44),Panduan_W6!$B$5*AD44,0)+IF(ISNUMBER(AE44),Panduan_W6!$B$6*AE44,0)+IF(ISNUMBER(AF44),Panduan_W6!$B$7*AF44,0)+IF(ISNUMBER(AG44),Panduan_W6!$B$8*AG44,0))/AH44))</f>
        <v/>
      </c>
      <c r="AJ44" s="6">
        <f>IF(AND(Panduan_W6!$B$11="Ya",$I44="Gang",$J44="Sepi"),IF(ISNUMBER(AG44),"Lengkap (gang)","Belum lengkap"),IF(AND(ISNUMBER(AC44),ISNUMBER(AD44),ISNUMBER(AE44),ISNUMBER(AG44),OR(ISNUMBER(AF44),$K44="Tidak ada")),"Lengkap","Belum lengkap"))</f>
        <v/>
      </c>
    </row>
    <row r="45" ht="15" customHeight="1">
      <c r="A45" s="3" t="inlineStr">
        <is>
          <t>RUAS-044</t>
        </is>
      </c>
      <c r="B45" s="3" t="inlineStr">
        <is>
          <t>Day 2</t>
        </is>
      </c>
      <c r="C45" s="3" t="inlineStr">
        <is>
          <t>KWS-05</t>
        </is>
      </c>
      <c r="D45" s="3" t="inlineStr">
        <is>
          <t>Theo</t>
        </is>
      </c>
      <c r="E45" s="3" t="inlineStr">
        <is>
          <t>2026-08-17</t>
        </is>
      </c>
      <c r="F45" s="3" t="inlineStr">
        <is>
          <t>14:13</t>
        </is>
      </c>
      <c r="G45" s="3" t="inlineStr">
        <is>
          <t>Jl.Anggajaya III</t>
        </is>
      </c>
      <c r="H45" s="3" t="n">
        <v>195.53</v>
      </c>
      <c r="I45" s="3" t="inlineStr">
        <is>
          <t>Jalan raya</t>
        </is>
      </c>
      <c r="J45" s="3" t="inlineStr">
        <is>
          <t>Sedang</t>
        </is>
      </c>
      <c r="K45" s="3" t="inlineStr">
        <is>
          <t>Tidak ada</t>
        </is>
      </c>
      <c r="L45" s="3" t="n">
        <v>0</v>
      </c>
      <c r="M45" s="3" t="n">
        <v>5.5</v>
      </c>
      <c r="N45" s="3" t="n"/>
      <c r="O45" s="3" t="inlineStr">
        <is>
          <t>tiang listrik</t>
        </is>
      </c>
      <c r="P45" s="3" t="n">
        <v>1</v>
      </c>
      <c r="Q45" s="3" t="inlineStr">
        <is>
          <t>Ya</t>
        </is>
      </c>
      <c r="R45" s="3" t="n">
        <v>0</v>
      </c>
      <c r="S45" s="3" t="n">
        <v>0</v>
      </c>
      <c r="T45" s="3" t="n">
        <v>3</v>
      </c>
      <c r="U45" s="3" t="n">
        <v>0</v>
      </c>
      <c r="V45" s="3" t="n">
        <v>65</v>
      </c>
      <c r="W45" s="3" t="inlineStr">
        <is>
          <t>Nihil</t>
        </is>
      </c>
      <c r="X45" s="3" t="n">
        <v>223</v>
      </c>
      <c r="Y45" s="3" t="n"/>
      <c r="Z45" s="3" t="n"/>
      <c r="AA45" s="3" t="n">
        <v>3</v>
      </c>
      <c r="AB45" s="3" t="n">
        <v>0.88</v>
      </c>
      <c r="AC45" s="4">
        <f>IF($K45="","",IF($K45="Ada",1,IF($K45="Sebagian",0.5,0)))</f>
        <v/>
      </c>
      <c r="AD45" s="4">
        <f>IF($K45="","",IF($K45="Tidak ada",0,IF($L45="","",MIN($L45/Panduan_W6!$B$9,1))))</f>
        <v/>
      </c>
      <c r="AE45" s="4">
        <f>IF($K45="","",IF($K45="Tidak ada",0,IF(OR($N45="",$H45=""),"",MAX(0,1-$N45/$H45))))</f>
        <v/>
      </c>
      <c r="AF45" s="4">
        <f>IF(OR($K45="",$K45="Tidak ada"),"",IF(OR($P45="",$H45=""),"",EXP(-$P45/$H45*100/Panduan_W6!$B$10)))</f>
        <v/>
      </c>
      <c r="AG45" s="4">
        <f>IF($Q45="","",IF($Q45="Tidak",1,0))</f>
        <v/>
      </c>
      <c r="AH45" s="5">
        <f>IF(ISNUMBER(AC45),Panduan_W6!$B$4,0)+IF(ISNUMBER(AD45),Panduan_W6!$B$5,0)+IF(ISNUMBER(AE45),Panduan_W6!$B$6,0)+IF(ISNUMBER(AF45),Panduan_W6!$B$7,0)+IF(ISNUMBER(AG45),Panduan_W6!$B$8,0)</f>
        <v/>
      </c>
      <c r="AI45" s="4">
        <f>IF(LEFT(AJ45,7)&lt;&gt;"Lengkap","",IF(AJ45="Lengkap (gang)",AG45,(IF(ISNUMBER(AC45),Panduan_W6!$B$4*AC45,0)+IF(ISNUMBER(AD45),Panduan_W6!$B$5*AD45,0)+IF(ISNUMBER(AE45),Panduan_W6!$B$6*AE45,0)+IF(ISNUMBER(AF45),Panduan_W6!$B$7*AF45,0)+IF(ISNUMBER(AG45),Panduan_W6!$B$8*AG45,0))/AH45))</f>
        <v/>
      </c>
      <c r="AJ45" s="6">
        <f>IF(AND(Panduan_W6!$B$11="Ya",$I45="Gang",$J45="Sepi"),IF(ISNUMBER(AG45),"Lengkap (gang)","Belum lengkap"),IF(AND(ISNUMBER(AC45),ISNUMBER(AD45),ISNUMBER(AE45),ISNUMBER(AG45),OR(ISNUMBER(AF45),$K45="Tidak ada")),"Lengkap","Belum lengkap"))</f>
        <v/>
      </c>
    </row>
    <row r="46" ht="15" customHeight="1">
      <c r="A46" s="3" t="inlineStr">
        <is>
          <t>RUAS-045</t>
        </is>
      </c>
      <c r="B46" s="3" t="inlineStr">
        <is>
          <t>Day 2</t>
        </is>
      </c>
      <c r="C46" s="3" t="inlineStr">
        <is>
          <t>KWS-05</t>
        </is>
      </c>
      <c r="D46" s="3" t="inlineStr">
        <is>
          <t>Theo</t>
        </is>
      </c>
      <c r="E46" s="3" t="inlineStr">
        <is>
          <t>2026-08-17</t>
        </is>
      </c>
      <c r="F46" s="3" t="inlineStr">
        <is>
          <t>14:42</t>
        </is>
      </c>
      <c r="G46" s="3" t="inlineStr">
        <is>
          <t>Jl. Brojolamatan</t>
        </is>
      </c>
      <c r="H46" s="3" t="n">
        <v>186.75</v>
      </c>
      <c r="I46" s="3" t="inlineStr">
        <is>
          <t>Jalan kecil</t>
        </is>
      </c>
      <c r="J46" s="3" t="inlineStr">
        <is>
          <t>Sepi</t>
        </is>
      </c>
      <c r="K46" s="3" t="inlineStr">
        <is>
          <t>Tidak ada</t>
        </is>
      </c>
      <c r="L46" s="3" t="n">
        <v>0</v>
      </c>
      <c r="M46" s="3" t="n">
        <v>3.3</v>
      </c>
      <c r="N46" s="3" t="n">
        <v>8</v>
      </c>
      <c r="O46" s="3" t="inlineStr">
        <is>
          <t>tidak ada</t>
        </is>
      </c>
      <c r="P46" s="3" t="n">
        <v>0</v>
      </c>
      <c r="Q46" s="3" t="inlineStr">
        <is>
          <t>Ya</t>
        </is>
      </c>
      <c r="R46" s="3" t="n">
        <v>0</v>
      </c>
      <c r="S46" s="3" t="n">
        <v>0</v>
      </c>
      <c r="T46" s="3" t="n">
        <v>2</v>
      </c>
      <c r="U46" s="3" t="n">
        <v>1</v>
      </c>
      <c r="V46" s="3" t="n">
        <v>12.05</v>
      </c>
      <c r="W46" s="3" t="inlineStr">
        <is>
          <t>25 sampai 50 persen</t>
        </is>
      </c>
      <c r="X46" s="3" t="n">
        <v>207</v>
      </c>
      <c r="Y46" s="3" t="n">
        <v>3</v>
      </c>
      <c r="Z46" s="3" t="n"/>
      <c r="AA46" s="3" t="n">
        <v>1</v>
      </c>
      <c r="AB46" s="3" t="n">
        <v>0.9</v>
      </c>
      <c r="AC46" s="4">
        <f>IF($K46="","",IF($K46="Ada",1,IF($K46="Sebagian",0.5,0)))</f>
        <v/>
      </c>
      <c r="AD46" s="4">
        <f>IF($K46="","",IF($K46="Tidak ada",0,IF($L46="","",MIN($L46/Panduan_W6!$B$9,1))))</f>
        <v/>
      </c>
      <c r="AE46" s="4">
        <f>IF($K46="","",IF($K46="Tidak ada",0,IF(OR($N46="",$H46=""),"",MAX(0,1-$N46/$H46))))</f>
        <v/>
      </c>
      <c r="AF46" s="4">
        <f>IF(OR($K46="",$K46="Tidak ada"),"",IF(OR($P46="",$H46=""),"",EXP(-$P46/$H46*100/Panduan_W6!$B$10)))</f>
        <v/>
      </c>
      <c r="AG46" s="4">
        <f>IF($Q46="","",IF($Q46="Tidak",1,0))</f>
        <v/>
      </c>
      <c r="AH46" s="5">
        <f>IF(ISNUMBER(AC46),Panduan_W6!$B$4,0)+IF(ISNUMBER(AD46),Panduan_W6!$B$5,0)+IF(ISNUMBER(AE46),Panduan_W6!$B$6,0)+IF(ISNUMBER(AF46),Panduan_W6!$B$7,0)+IF(ISNUMBER(AG46),Panduan_W6!$B$8,0)</f>
        <v/>
      </c>
      <c r="AI46" s="4">
        <f>IF(LEFT(AJ46,7)&lt;&gt;"Lengkap","",IF(AJ46="Lengkap (gang)",AG46,(IF(ISNUMBER(AC46),Panduan_W6!$B$4*AC46,0)+IF(ISNUMBER(AD46),Panduan_W6!$B$5*AD46,0)+IF(ISNUMBER(AE46),Panduan_W6!$B$6*AE46,0)+IF(ISNUMBER(AF46),Panduan_W6!$B$7*AF46,0)+IF(ISNUMBER(AG46),Panduan_W6!$B$8*AG46,0))/AH46))</f>
        <v/>
      </c>
      <c r="AJ46" s="6">
        <f>IF(AND(Panduan_W6!$B$11="Ya",$I46="Gang",$J46="Sepi"),IF(ISNUMBER(AG46),"Lengkap (gang)","Belum lengkap"),IF(AND(ISNUMBER(AC46),ISNUMBER(AD46),ISNUMBER(AE46),ISNUMBER(AG46),OR(ISNUMBER(AF46),$K46="Tidak ada")),"Lengkap","Belum lengkap"))</f>
        <v/>
      </c>
    </row>
    <row r="47" ht="15" customHeight="1">
      <c r="A47" s="3" t="inlineStr">
        <is>
          <t>RUAS-046</t>
        </is>
      </c>
      <c r="B47" s="3" t="inlineStr">
        <is>
          <t>Day 2</t>
        </is>
      </c>
      <c r="C47" s="3" t="inlineStr">
        <is>
          <t>KWS-08</t>
        </is>
      </c>
      <c r="D47" s="3" t="inlineStr">
        <is>
          <t>Devon</t>
        </is>
      </c>
      <c r="E47" s="3" t="inlineStr">
        <is>
          <t>2026-08-17</t>
        </is>
      </c>
      <c r="F47" s="3" t="inlineStr">
        <is>
          <t>11:44</t>
        </is>
      </c>
      <c r="G47" s="3" t="inlineStr">
        <is>
          <t>Gang mawar, Jl. Tajem Baru</t>
        </is>
      </c>
      <c r="H47" s="3" t="n">
        <v>78</v>
      </c>
      <c r="I47" s="3" t="inlineStr">
        <is>
          <t>Gang</t>
        </is>
      </c>
      <c r="J47" s="3" t="inlineStr">
        <is>
          <t>Sepi</t>
        </is>
      </c>
      <c r="K47" s="3" t="inlineStr">
        <is>
          <t>Tidak ada</t>
        </is>
      </c>
      <c r="L47" s="3" t="n">
        <v>0</v>
      </c>
      <c r="M47" s="3" t="n">
        <v>2</v>
      </c>
      <c r="N47" s="3" t="n">
        <v>0</v>
      </c>
      <c r="O47" s="3" t="inlineStr">
        <is>
          <t>tidak ada</t>
        </is>
      </c>
      <c r="P47" s="3" t="n">
        <v>0</v>
      </c>
      <c r="Q47" s="3" t="inlineStr">
        <is>
          <t>Ya</t>
        </is>
      </c>
      <c r="R47" s="3" t="n">
        <v>0</v>
      </c>
      <c r="S47" s="3" t="n">
        <v>0</v>
      </c>
      <c r="T47" s="3" t="n">
        <v>0</v>
      </c>
      <c r="U47" s="3" t="n">
        <v>0</v>
      </c>
      <c r="V47" s="3" t="n">
        <v>0</v>
      </c>
      <c r="W47" s="3" t="inlineStr">
        <is>
          <t>Nihil</t>
        </is>
      </c>
      <c r="X47" s="3" t="n">
        <v>70</v>
      </c>
      <c r="Y47" s="3" t="n">
        <v>1</v>
      </c>
      <c r="Z47" s="3" t="n"/>
      <c r="AA47" s="3" t="n">
        <v>1</v>
      </c>
      <c r="AB47" s="3" t="n">
        <v>1.11</v>
      </c>
      <c r="AC47" s="4">
        <f>IF($K47="","",IF($K47="Ada",1,IF($K47="Sebagian",0.5,0)))</f>
        <v/>
      </c>
      <c r="AD47" s="4">
        <f>IF($K47="","",IF($K47="Tidak ada",0,IF($L47="","",MIN($L47/Panduan_W6!$B$9,1))))</f>
        <v/>
      </c>
      <c r="AE47" s="4">
        <f>IF($K47="","",IF($K47="Tidak ada",0,IF(OR($N47="",$H47=""),"",MAX(0,1-$N47/$H47))))</f>
        <v/>
      </c>
      <c r="AF47" s="4">
        <f>IF(OR($K47="",$K47="Tidak ada"),"",IF(OR($P47="",$H47=""),"",EXP(-$P47/$H47*100/Panduan_W6!$B$10)))</f>
        <v/>
      </c>
      <c r="AG47" s="4">
        <f>IF($Q47="","",IF($Q47="Tidak",1,0))</f>
        <v/>
      </c>
      <c r="AH47" s="5">
        <f>IF(ISNUMBER(AC47),Panduan_W6!$B$4,0)+IF(ISNUMBER(AD47),Panduan_W6!$B$5,0)+IF(ISNUMBER(AE47),Panduan_W6!$B$6,0)+IF(ISNUMBER(AF47),Panduan_W6!$B$7,0)+IF(ISNUMBER(AG47),Panduan_W6!$B$8,0)</f>
        <v/>
      </c>
      <c r="AI47" s="4">
        <f>IF(LEFT(AJ47,7)&lt;&gt;"Lengkap","",IF(AJ47="Lengkap (gang)",AG47,(IF(ISNUMBER(AC47),Panduan_W6!$B$4*AC47,0)+IF(ISNUMBER(AD47),Panduan_W6!$B$5*AD47,0)+IF(ISNUMBER(AE47),Panduan_W6!$B$6*AE47,0)+IF(ISNUMBER(AF47),Panduan_W6!$B$7*AF47,0)+IF(ISNUMBER(AG47),Panduan_W6!$B$8*AG47,0))/AH47))</f>
        <v/>
      </c>
      <c r="AJ47" s="6">
        <f>IF(AND(Panduan_W6!$B$11="Ya",$I47="Gang",$J47="Sepi"),IF(ISNUMBER(AG47),"Lengkap (gang)","Belum lengkap"),IF(AND(ISNUMBER(AC47),ISNUMBER(AD47),ISNUMBER(AE47),ISNUMBER(AG47),OR(ISNUMBER(AF47),$K47="Tidak ada")),"Lengkap","Belum lengkap"))</f>
        <v/>
      </c>
    </row>
    <row r="48" ht="15" customHeight="1">
      <c r="A48" s="3" t="inlineStr">
        <is>
          <t>RUAS-047</t>
        </is>
      </c>
      <c r="B48" s="3" t="inlineStr">
        <is>
          <t>Day 2</t>
        </is>
      </c>
      <c r="C48" s="3" t="inlineStr">
        <is>
          <t>KWS-12</t>
        </is>
      </c>
      <c r="D48" s="3" t="inlineStr">
        <is>
          <t>Delon</t>
        </is>
      </c>
      <c r="E48" s="3" t="inlineStr">
        <is>
          <t>2026-08-17</t>
        </is>
      </c>
      <c r="F48" s="3" t="inlineStr">
        <is>
          <t>14:57</t>
        </is>
      </c>
      <c r="G48" s="3" t="inlineStr">
        <is>
          <t>Gg. Janaka, Maguwoharjo</t>
        </is>
      </c>
      <c r="H48" s="3" t="n">
        <v>55</v>
      </c>
      <c r="I48" s="3" t="inlineStr">
        <is>
          <t>Gang</t>
        </is>
      </c>
      <c r="J48" s="3" t="inlineStr">
        <is>
          <t>Sepi</t>
        </is>
      </c>
      <c r="K48" s="3" t="inlineStr">
        <is>
          <t>Tidak ada</t>
        </is>
      </c>
      <c r="L48" s="3" t="n">
        <v>0</v>
      </c>
      <c r="M48" s="3" t="n">
        <v>3</v>
      </c>
      <c r="N48" s="3" t="n"/>
      <c r="O48" s="3" t="inlineStr">
        <is>
          <t>tidak ada</t>
        </is>
      </c>
      <c r="P48" s="3" t="n">
        <v>1</v>
      </c>
      <c r="Q48" s="3" t="inlineStr">
        <is>
          <t>Ya</t>
        </is>
      </c>
      <c r="R48" s="3" t="n">
        <v>0</v>
      </c>
      <c r="S48" s="3" t="n">
        <v>0</v>
      </c>
      <c r="T48" s="3" t="n">
        <v>3</v>
      </c>
      <c r="U48" s="3" t="n">
        <v>0</v>
      </c>
      <c r="V48" s="3" t="n">
        <v>18</v>
      </c>
      <c r="W48" s="3" t="inlineStr">
        <is>
          <t>Di atas 50 persen</t>
        </is>
      </c>
      <c r="X48" s="3" t="n">
        <v>53</v>
      </c>
      <c r="Y48" s="3" t="n">
        <v>1</v>
      </c>
      <c r="Z48" s="3" t="inlineStr">
        <is>
          <t>jalan paving, sepi, rimbun, banyak pohon, ada beberapa bendera dan umbul-umbul merah putih di sekitar jalan</t>
        </is>
      </c>
      <c r="AA48" s="3" t="n">
        <v>1</v>
      </c>
      <c r="AB48" s="3" t="n">
        <v>1.04</v>
      </c>
      <c r="AC48" s="4">
        <f>IF($K48="","",IF($K48="Ada",1,IF($K48="Sebagian",0.5,0)))</f>
        <v/>
      </c>
      <c r="AD48" s="4">
        <f>IF($K48="","",IF($K48="Tidak ada",0,IF($L48="","",MIN($L48/Panduan_W6!$B$9,1))))</f>
        <v/>
      </c>
      <c r="AE48" s="4">
        <f>IF($K48="","",IF($K48="Tidak ada",0,IF(OR($N48="",$H48=""),"",MAX(0,1-$N48/$H48))))</f>
        <v/>
      </c>
      <c r="AF48" s="4">
        <f>IF(OR($K48="",$K48="Tidak ada"),"",IF(OR($P48="",$H48=""),"",EXP(-$P48/$H48*100/Panduan_W6!$B$10)))</f>
        <v/>
      </c>
      <c r="AG48" s="4">
        <f>IF($Q48="","",IF($Q48="Tidak",1,0))</f>
        <v/>
      </c>
      <c r="AH48" s="5">
        <f>IF(ISNUMBER(AC48),Panduan_W6!$B$4,0)+IF(ISNUMBER(AD48),Panduan_W6!$B$5,0)+IF(ISNUMBER(AE48),Panduan_W6!$B$6,0)+IF(ISNUMBER(AF48),Panduan_W6!$B$7,0)+IF(ISNUMBER(AG48),Panduan_W6!$B$8,0)</f>
        <v/>
      </c>
      <c r="AI48" s="4">
        <f>IF(LEFT(AJ48,7)&lt;&gt;"Lengkap","",IF(AJ48="Lengkap (gang)",AG48,(IF(ISNUMBER(AC48),Panduan_W6!$B$4*AC48,0)+IF(ISNUMBER(AD48),Panduan_W6!$B$5*AD48,0)+IF(ISNUMBER(AE48),Panduan_W6!$B$6*AE48,0)+IF(ISNUMBER(AF48),Panduan_W6!$B$7*AF48,0)+IF(ISNUMBER(AG48),Panduan_W6!$B$8*AG48,0))/AH48))</f>
        <v/>
      </c>
      <c r="AJ48" s="6">
        <f>IF(AND(Panduan_W6!$B$11="Ya",$I48="Gang",$J48="Sepi"),IF(ISNUMBER(AG48),"Lengkap (gang)","Belum lengkap"),IF(AND(ISNUMBER(AC48),ISNUMBER(AD48),ISNUMBER(AE48),ISNUMBER(AG48),OR(ISNUMBER(AF48),$K48="Tidak ada")),"Lengkap","Belum lengkap"))</f>
        <v/>
      </c>
    </row>
    <row r="49" ht="15" customHeight="1">
      <c r="A49" s="3" t="inlineStr">
        <is>
          <t>RUAS-048</t>
        </is>
      </c>
      <c r="B49" s="3" t="inlineStr">
        <is>
          <t>Day 2</t>
        </is>
      </c>
      <c r="C49" s="3" t="inlineStr">
        <is>
          <t>KWS-12</t>
        </is>
      </c>
      <c r="D49" s="3" t="inlineStr">
        <is>
          <t>Delon</t>
        </is>
      </c>
      <c r="E49" s="3" t="inlineStr">
        <is>
          <t>2026-08-17</t>
        </is>
      </c>
      <c r="F49" s="3" t="inlineStr">
        <is>
          <t>15:13</t>
        </is>
      </c>
      <c r="G49" s="3" t="inlineStr">
        <is>
          <t>Jl. Perjuangan maguwoharjo</t>
        </is>
      </c>
      <c r="H49" s="3" t="n">
        <v>93</v>
      </c>
      <c r="I49" s="3" t="inlineStr">
        <is>
          <t>Jalan kecil</t>
        </is>
      </c>
      <c r="J49" s="3" t="inlineStr">
        <is>
          <t>Sepi</t>
        </is>
      </c>
      <c r="K49" s="3" t="inlineStr">
        <is>
          <t>Tidak ada</t>
        </is>
      </c>
      <c r="L49" s="3" t="n">
        <v>0</v>
      </c>
      <c r="M49" s="3" t="n">
        <v>5</v>
      </c>
      <c r="N49" s="3" t="n"/>
      <c r="O49" s="3" t="inlineStr">
        <is>
          <t>tidak ada</t>
        </is>
      </c>
      <c r="P49" s="3" t="n">
        <v>0</v>
      </c>
      <c r="Q49" s="3" t="inlineStr">
        <is>
          <t>Ya</t>
        </is>
      </c>
      <c r="R49" s="3" t="n">
        <v>0</v>
      </c>
      <c r="S49" s="3" t="n">
        <v>0</v>
      </c>
      <c r="T49" s="3" t="n">
        <v>4</v>
      </c>
      <c r="U49" s="3" t="n">
        <v>0</v>
      </c>
      <c r="V49" s="3" t="n">
        <v>23</v>
      </c>
      <c r="W49" s="3" t="inlineStr">
        <is>
          <t>Nihil</t>
        </is>
      </c>
      <c r="X49" s="3" t="n">
        <v>86</v>
      </c>
      <c r="Y49" s="3" t="n">
        <v>1</v>
      </c>
      <c r="Z49" s="3" t="inlineStr">
        <is>
          <t>jalan sepi, sedikit pohon besar, hanya ada pohon kecil, tidak ada area pejalan kaki, harus berjalan di area jalan raya</t>
        </is>
      </c>
      <c r="AA49" s="3" t="n">
        <v>2</v>
      </c>
      <c r="AB49" s="3" t="n">
        <v>1.08</v>
      </c>
      <c r="AC49" s="4">
        <f>IF($K49="","",IF($K49="Ada",1,IF($K49="Sebagian",0.5,0)))</f>
        <v/>
      </c>
      <c r="AD49" s="4">
        <f>IF($K49="","",IF($K49="Tidak ada",0,IF($L49="","",MIN($L49/Panduan_W6!$B$9,1))))</f>
        <v/>
      </c>
      <c r="AE49" s="4">
        <f>IF($K49="","",IF($K49="Tidak ada",0,IF(OR($N49="",$H49=""),"",MAX(0,1-$N49/$H49))))</f>
        <v/>
      </c>
      <c r="AF49" s="4">
        <f>IF(OR($K49="",$K49="Tidak ada"),"",IF(OR($P49="",$H49=""),"",EXP(-$P49/$H49*100/Panduan_W6!$B$10)))</f>
        <v/>
      </c>
      <c r="AG49" s="4">
        <f>IF($Q49="","",IF($Q49="Tidak",1,0))</f>
        <v/>
      </c>
      <c r="AH49" s="5">
        <f>IF(ISNUMBER(AC49),Panduan_W6!$B$4,0)+IF(ISNUMBER(AD49),Panduan_W6!$B$5,0)+IF(ISNUMBER(AE49),Panduan_W6!$B$6,0)+IF(ISNUMBER(AF49),Panduan_W6!$B$7,0)+IF(ISNUMBER(AG49),Panduan_W6!$B$8,0)</f>
        <v/>
      </c>
      <c r="AI49" s="4">
        <f>IF(LEFT(AJ49,7)&lt;&gt;"Lengkap","",IF(AJ49="Lengkap (gang)",AG49,(IF(ISNUMBER(AC49),Panduan_W6!$B$4*AC49,0)+IF(ISNUMBER(AD49),Panduan_W6!$B$5*AD49,0)+IF(ISNUMBER(AE49),Panduan_W6!$B$6*AE49,0)+IF(ISNUMBER(AF49),Panduan_W6!$B$7*AF49,0)+IF(ISNUMBER(AG49),Panduan_W6!$B$8*AG49,0))/AH49))</f>
        <v/>
      </c>
      <c r="AJ49" s="6">
        <f>IF(AND(Panduan_W6!$B$11="Ya",$I49="Gang",$J49="Sepi"),IF(ISNUMBER(AG49),"Lengkap (gang)","Belum lengkap"),IF(AND(ISNUMBER(AC49),ISNUMBER(AD49),ISNUMBER(AE49),ISNUMBER(AG49),OR(ISNUMBER(AF49),$K49="Tidak ada")),"Lengkap","Belum lengkap"))</f>
        <v/>
      </c>
    </row>
    <row r="50" ht="15" customHeight="1">
      <c r="A50" s="3" t="inlineStr">
        <is>
          <t>RUAS-049</t>
        </is>
      </c>
      <c r="B50" s="3" t="inlineStr">
        <is>
          <t>Day 2</t>
        </is>
      </c>
      <c r="C50" s="3" t="inlineStr">
        <is>
          <t>KWS-12</t>
        </is>
      </c>
      <c r="D50" s="3" t="inlineStr">
        <is>
          <t>Devon</t>
        </is>
      </c>
      <c r="E50" s="3" t="inlineStr">
        <is>
          <t>2026-08-17</t>
        </is>
      </c>
      <c r="F50" s="3" t="inlineStr">
        <is>
          <t>15:07</t>
        </is>
      </c>
      <c r="G50" s="3" t="inlineStr">
        <is>
          <t>Jl. Ring Road Utara, Maguwoharjo</t>
        </is>
      </c>
      <c r="H50" s="3" t="n">
        <v>150</v>
      </c>
      <c r="I50" s="3" t="inlineStr">
        <is>
          <t>Jalan raya</t>
        </is>
      </c>
      <c r="J50" s="3" t="inlineStr">
        <is>
          <t>Ramai</t>
        </is>
      </c>
      <c r="K50" s="3" t="inlineStr">
        <is>
          <t>Ada</t>
        </is>
      </c>
      <c r="L50" s="3" t="n">
        <v>1.5</v>
      </c>
      <c r="M50" s="3" t="n">
        <v>20</v>
      </c>
      <c r="N50" s="3" t="n">
        <v>0</v>
      </c>
      <c r="O50" s="3" t="inlineStr">
        <is>
          <t>mobil parkir</t>
        </is>
      </c>
      <c r="P50" s="3" t="n">
        <v>1</v>
      </c>
      <c r="Q50" s="3" t="inlineStr">
        <is>
          <t>Ya</t>
        </is>
      </c>
      <c r="R50" s="3" t="n">
        <v>0</v>
      </c>
      <c r="S50" s="3" t="n">
        <v>0</v>
      </c>
      <c r="T50" s="3" t="n">
        <v>3</v>
      </c>
      <c r="U50" s="3" t="n">
        <v>0</v>
      </c>
      <c r="V50" s="3" t="n">
        <v>30</v>
      </c>
      <c r="W50" s="3" t="inlineStr">
        <is>
          <t>Di bawah 25 persen</t>
        </is>
      </c>
      <c r="X50" s="3" t="n">
        <v>130</v>
      </c>
      <c r="Y50" s="3" t="n">
        <v>2</v>
      </c>
      <c r="Z50" s="3" t="n"/>
      <c r="AA50" s="3" t="n">
        <v>4</v>
      </c>
      <c r="AB50" s="3" t="n">
        <v>1.15</v>
      </c>
      <c r="AC50" s="4">
        <f>IF($K50="","",IF($K50="Ada",1,IF($K50="Sebagian",0.5,0)))</f>
        <v/>
      </c>
      <c r="AD50" s="4">
        <f>IF($K50="","",IF($K50="Tidak ada",0,IF($L50="","",MIN($L50/Panduan_W6!$B$9,1))))</f>
        <v/>
      </c>
      <c r="AE50" s="4">
        <f>IF($K50="","",IF($K50="Tidak ada",0,IF(OR($N50="",$H50=""),"",MAX(0,1-$N50/$H50))))</f>
        <v/>
      </c>
      <c r="AF50" s="4">
        <f>IF(OR($K50="",$K50="Tidak ada"),"",IF(OR($P50="",$H50=""),"",EXP(-$P50/$H50*100/Panduan_W6!$B$10)))</f>
        <v/>
      </c>
      <c r="AG50" s="4">
        <f>IF($Q50="","",IF($Q50="Tidak",1,0))</f>
        <v/>
      </c>
      <c r="AH50" s="5">
        <f>IF(ISNUMBER(AC50),Panduan_W6!$B$4,0)+IF(ISNUMBER(AD50),Panduan_W6!$B$5,0)+IF(ISNUMBER(AE50),Panduan_W6!$B$6,0)+IF(ISNUMBER(AF50),Panduan_W6!$B$7,0)+IF(ISNUMBER(AG50),Panduan_W6!$B$8,0)</f>
        <v/>
      </c>
      <c r="AI50" s="4">
        <f>IF(LEFT(AJ50,7)&lt;&gt;"Lengkap","",IF(AJ50="Lengkap (gang)",AG50,(IF(ISNUMBER(AC50),Panduan_W6!$B$4*AC50,0)+IF(ISNUMBER(AD50),Panduan_W6!$B$5*AD50,0)+IF(ISNUMBER(AE50),Panduan_W6!$B$6*AE50,0)+IF(ISNUMBER(AF50),Panduan_W6!$B$7*AF50,0)+IF(ISNUMBER(AG50),Panduan_W6!$B$8*AG50,0))/AH50))</f>
        <v/>
      </c>
      <c r="AJ50" s="6">
        <f>IF(AND(Panduan_W6!$B$11="Ya",$I50="Gang",$J50="Sepi"),IF(ISNUMBER(AG50),"Lengkap (gang)","Belum lengkap"),IF(AND(ISNUMBER(AC50),ISNUMBER(AD50),ISNUMBER(AE50),ISNUMBER(AG50),OR(ISNUMBER(AF50),$K50="Tidak ada")),"Lengkap","Belum lengkap"))</f>
        <v/>
      </c>
    </row>
    <row r="51" ht="15" customHeight="1">
      <c r="A51" s="3" t="inlineStr">
        <is>
          <t>RUAS-050</t>
        </is>
      </c>
      <c r="B51" s="3" t="inlineStr">
        <is>
          <t>Day 2</t>
        </is>
      </c>
      <c r="C51" s="3" t="inlineStr">
        <is>
          <t>KWS-12</t>
        </is>
      </c>
      <c r="D51" s="3" t="inlineStr">
        <is>
          <t>Delon</t>
        </is>
      </c>
      <c r="E51" s="3" t="inlineStr">
        <is>
          <t>2026-08-17</t>
        </is>
      </c>
      <c r="F51" s="3" t="inlineStr">
        <is>
          <t>15:18</t>
        </is>
      </c>
      <c r="G51" s="3" t="inlineStr">
        <is>
          <t>Meguwo RT 01, RW 45</t>
        </is>
      </c>
      <c r="H51" s="3" t="n">
        <v>109</v>
      </c>
      <c r="I51" s="3" t="inlineStr">
        <is>
          <t>Gang</t>
        </is>
      </c>
      <c r="J51" s="3" t="inlineStr">
        <is>
          <t>Sepi</t>
        </is>
      </c>
      <c r="K51" s="3" t="inlineStr">
        <is>
          <t>Tidak ada</t>
        </is>
      </c>
      <c r="L51" s="3" t="n">
        <v>0</v>
      </c>
      <c r="M51" s="3" t="n">
        <v>4.5</v>
      </c>
      <c r="N51" s="3" t="n">
        <v>0</v>
      </c>
      <c r="O51" s="3" t="inlineStr">
        <is>
          <t>tidak ada</t>
        </is>
      </c>
      <c r="P51" s="3" t="n">
        <v>2</v>
      </c>
      <c r="Q51" s="3" t="inlineStr">
        <is>
          <t>Ya</t>
        </is>
      </c>
      <c r="R51" s="3" t="n">
        <v>0</v>
      </c>
      <c r="S51" s="3" t="n">
        <v>0</v>
      </c>
      <c r="T51" s="3" t="n">
        <v>5</v>
      </c>
      <c r="U51" s="3" t="n">
        <v>0</v>
      </c>
      <c r="V51" s="3" t="n">
        <v>22</v>
      </c>
      <c r="W51" s="3" t="inlineStr">
        <is>
          <t>25 sampai 50 persen</t>
        </is>
      </c>
      <c r="X51" s="3" t="n">
        <v>100</v>
      </c>
      <c r="Y51" s="3" t="n">
        <v>2</v>
      </c>
      <c r="Z51" s="3" t="inlineStr">
        <is>
          <t>jalan semen,  sepi, elevasi menurun, banyak bendera merah putih dan umbul-umbul</t>
        </is>
      </c>
      <c r="AA51" s="3" t="n">
        <v>1</v>
      </c>
      <c r="AB51" s="3" t="n">
        <v>1.09</v>
      </c>
      <c r="AC51" s="4">
        <f>IF($K51="","",IF($K51="Ada",1,IF($K51="Sebagian",0.5,0)))</f>
        <v/>
      </c>
      <c r="AD51" s="4">
        <f>IF($K51="","",IF($K51="Tidak ada",0,IF($L51="","",MIN($L51/Panduan_W6!$B$9,1))))</f>
        <v/>
      </c>
      <c r="AE51" s="4">
        <f>IF($K51="","",IF($K51="Tidak ada",0,IF(OR($N51="",$H51=""),"",MAX(0,1-$N51/$H51))))</f>
        <v/>
      </c>
      <c r="AF51" s="4">
        <f>IF(OR($K51="",$K51="Tidak ada"),"",IF(OR($P51="",$H51=""),"",EXP(-$P51/$H51*100/Panduan_W6!$B$10)))</f>
        <v/>
      </c>
      <c r="AG51" s="4">
        <f>IF($Q51="","",IF($Q51="Tidak",1,0))</f>
        <v/>
      </c>
      <c r="AH51" s="5">
        <f>IF(ISNUMBER(AC51),Panduan_W6!$B$4,0)+IF(ISNUMBER(AD51),Panduan_W6!$B$5,0)+IF(ISNUMBER(AE51),Panduan_W6!$B$6,0)+IF(ISNUMBER(AF51),Panduan_W6!$B$7,0)+IF(ISNUMBER(AG51),Panduan_W6!$B$8,0)</f>
        <v/>
      </c>
      <c r="AI51" s="4">
        <f>IF(LEFT(AJ51,7)&lt;&gt;"Lengkap","",IF(AJ51="Lengkap (gang)",AG51,(IF(ISNUMBER(AC51),Panduan_W6!$B$4*AC51,0)+IF(ISNUMBER(AD51),Panduan_W6!$B$5*AD51,0)+IF(ISNUMBER(AE51),Panduan_W6!$B$6*AE51,0)+IF(ISNUMBER(AF51),Panduan_W6!$B$7*AF51,0)+IF(ISNUMBER(AG51),Panduan_W6!$B$8*AG51,0))/AH51))</f>
        <v/>
      </c>
      <c r="AJ51" s="6">
        <f>IF(AND(Panduan_W6!$B$11="Ya",$I51="Gang",$J51="Sepi"),IF(ISNUMBER(AG51),"Lengkap (gang)","Belum lengkap"),IF(AND(ISNUMBER(AC51),ISNUMBER(AD51),ISNUMBER(AE51),ISNUMBER(AG51),OR(ISNUMBER(AF51),$K51="Tidak ada")),"Lengkap","Belum lengkap"))</f>
        <v/>
      </c>
    </row>
    <row r="52" ht="15" customHeight="1">
      <c r="A52" s="3" t="inlineStr">
        <is>
          <t>RUAS-051</t>
        </is>
      </c>
      <c r="B52" s="3" t="inlineStr">
        <is>
          <t>Day 2</t>
        </is>
      </c>
      <c r="C52" s="3" t="inlineStr">
        <is>
          <t>KWS-05</t>
        </is>
      </c>
      <c r="D52" s="3" t="inlineStr">
        <is>
          <t>Andalan</t>
        </is>
      </c>
      <c r="E52" s="3" t="inlineStr">
        <is>
          <t>2026-08-17</t>
        </is>
      </c>
      <c r="F52" s="3" t="inlineStr">
        <is>
          <t>15:43</t>
        </is>
      </c>
      <c r="G52" s="3" t="inlineStr">
        <is>
          <t>Jl. Anggajaya II</t>
        </is>
      </c>
      <c r="H52" s="3" t="n">
        <v>200</v>
      </c>
      <c r="I52" s="3" t="inlineStr">
        <is>
          <t>Jalan kecil</t>
        </is>
      </c>
      <c r="J52" s="3" t="inlineStr">
        <is>
          <t>Sedang</t>
        </is>
      </c>
      <c r="K52" s="3" t="inlineStr">
        <is>
          <t>Tidak ada</t>
        </is>
      </c>
      <c r="L52" s="3" t="n">
        <v>0</v>
      </c>
      <c r="M52" s="3" t="n">
        <v>3</v>
      </c>
      <c r="N52" s="3" t="n">
        <v>0</v>
      </c>
      <c r="O52" s="3" t="inlineStr">
        <is>
          <t>material bangunan</t>
        </is>
      </c>
      <c r="P52" s="3" t="n">
        <v>5</v>
      </c>
      <c r="Q52" s="3" t="inlineStr">
        <is>
          <t>Ya</t>
        </is>
      </c>
      <c r="R52" s="3" t="n">
        <v>0</v>
      </c>
      <c r="S52" s="3" t="n">
        <v>0</v>
      </c>
      <c r="T52" s="3" t="n">
        <v>4</v>
      </c>
      <c r="U52" s="3" t="n">
        <v>0</v>
      </c>
      <c r="V52" s="3" t="n">
        <v>50</v>
      </c>
      <c r="W52" s="3" t="inlineStr">
        <is>
          <t>Di bawah 25 persen</t>
        </is>
      </c>
      <c r="X52" s="3" t="n">
        <v>189</v>
      </c>
      <c r="Y52" s="3" t="n">
        <v>2</v>
      </c>
      <c r="Z52" s="3" t="inlineStr">
        <is>
          <t>lobang gede</t>
        </is>
      </c>
      <c r="AA52" s="3" t="n">
        <v>1</v>
      </c>
      <c r="AB52" s="3" t="n">
        <v>1.06</v>
      </c>
      <c r="AC52" s="4">
        <f>IF($K52="","",IF($K52="Ada",1,IF($K52="Sebagian",0.5,0)))</f>
        <v/>
      </c>
      <c r="AD52" s="4">
        <f>IF($K52="","",IF($K52="Tidak ada",0,IF($L52="","",MIN($L52/Panduan_W6!$B$9,1))))</f>
        <v/>
      </c>
      <c r="AE52" s="4">
        <f>IF($K52="","",IF($K52="Tidak ada",0,IF(OR($N52="",$H52=""),"",MAX(0,1-$N52/$H52))))</f>
        <v/>
      </c>
      <c r="AF52" s="4">
        <f>IF(OR($K52="",$K52="Tidak ada"),"",IF(OR($P52="",$H52=""),"",EXP(-$P52/$H52*100/Panduan_W6!$B$10)))</f>
        <v/>
      </c>
      <c r="AG52" s="4">
        <f>IF($Q52="","",IF($Q52="Tidak",1,0))</f>
        <v/>
      </c>
      <c r="AH52" s="5">
        <f>IF(ISNUMBER(AC52),Panduan_W6!$B$4,0)+IF(ISNUMBER(AD52),Panduan_W6!$B$5,0)+IF(ISNUMBER(AE52),Panduan_W6!$B$6,0)+IF(ISNUMBER(AF52),Panduan_W6!$B$7,0)+IF(ISNUMBER(AG52),Panduan_W6!$B$8,0)</f>
        <v/>
      </c>
      <c r="AI52" s="4">
        <f>IF(LEFT(AJ52,7)&lt;&gt;"Lengkap","",IF(AJ52="Lengkap (gang)",AG52,(IF(ISNUMBER(AC52),Panduan_W6!$B$4*AC52,0)+IF(ISNUMBER(AD52),Panduan_W6!$B$5*AD52,0)+IF(ISNUMBER(AE52),Panduan_W6!$B$6*AE52,0)+IF(ISNUMBER(AF52),Panduan_W6!$B$7*AF52,0)+IF(ISNUMBER(AG52),Panduan_W6!$B$8*AG52,0))/AH52))</f>
        <v/>
      </c>
      <c r="AJ52" s="6">
        <f>IF(AND(Panduan_W6!$B$11="Ya",$I52="Gang",$J52="Sepi"),IF(ISNUMBER(AG52),"Lengkap (gang)","Belum lengkap"),IF(AND(ISNUMBER(AC52),ISNUMBER(AD52),ISNUMBER(AE52),ISNUMBER(AG52),OR(ISNUMBER(AF52),$K52="Tidak ada")),"Lengkap","Belum lengkap"))</f>
        <v/>
      </c>
    </row>
    <row r="53" ht="15" customHeight="1">
      <c r="A53" s="3" t="inlineStr">
        <is>
          <t>RUAS-052</t>
        </is>
      </c>
      <c r="B53" s="3" t="inlineStr">
        <is>
          <t>Day 2</t>
        </is>
      </c>
      <c r="C53" s="3" t="inlineStr">
        <is>
          <t>KWS-05</t>
        </is>
      </c>
      <c r="D53" s="3" t="inlineStr">
        <is>
          <t>Theo</t>
        </is>
      </c>
      <c r="E53" s="3" t="inlineStr">
        <is>
          <t>2026-08-17</t>
        </is>
      </c>
      <c r="F53" s="3" t="inlineStr">
        <is>
          <t>15:46</t>
        </is>
      </c>
      <c r="G53" s="3" t="inlineStr">
        <is>
          <t>Jl. Anggajaya (lanjutan)</t>
        </is>
      </c>
      <c r="H53" s="3" t="n">
        <v>76.75</v>
      </c>
      <c r="I53" s="3" t="inlineStr">
        <is>
          <t>Jalan raya</t>
        </is>
      </c>
      <c r="J53" s="3" t="inlineStr">
        <is>
          <t>Ramai</t>
        </is>
      </c>
      <c r="K53" s="3" t="inlineStr">
        <is>
          <t>Tidak ada</t>
        </is>
      </c>
      <c r="L53" s="3" t="n">
        <v>0</v>
      </c>
      <c r="M53" s="3" t="n">
        <v>4.41</v>
      </c>
      <c r="N53" s="3" t="n">
        <v>0</v>
      </c>
      <c r="O53" s="3" t="inlineStr">
        <is>
          <t>tidak ada</t>
        </is>
      </c>
      <c r="P53" s="3" t="n">
        <v>0</v>
      </c>
      <c r="Q53" s="3" t="inlineStr">
        <is>
          <t>Ya</t>
        </is>
      </c>
      <c r="R53" s="3" t="n">
        <v>0</v>
      </c>
      <c r="S53" s="3" t="n">
        <v>0</v>
      </c>
      <c r="T53" s="3" t="n">
        <v>0</v>
      </c>
      <c r="U53" s="3" t="n">
        <v>0</v>
      </c>
      <c r="V53" s="3" t="n">
        <v>0</v>
      </c>
      <c r="W53" s="3" t="inlineStr">
        <is>
          <t>25 sampai 50 persen</t>
        </is>
      </c>
      <c r="X53" s="3" t="n">
        <v>63</v>
      </c>
      <c r="Y53" s="3" t="n">
        <v>1</v>
      </c>
      <c r="Z53" s="3" t="inlineStr">
        <is>
          <t>lanjutan Jalan anggajaya</t>
        </is>
      </c>
      <c r="AA53" s="3" t="n">
        <v>1</v>
      </c>
      <c r="AB53" s="3" t="n">
        <v>1.22</v>
      </c>
      <c r="AC53" s="4">
        <f>IF($K53="","",IF($K53="Ada",1,IF($K53="Sebagian",0.5,0)))</f>
        <v/>
      </c>
      <c r="AD53" s="4">
        <f>IF($K53="","",IF($K53="Tidak ada",0,IF($L53="","",MIN($L53/Panduan_W6!$B$9,1))))</f>
        <v/>
      </c>
      <c r="AE53" s="4">
        <f>IF($K53="","",IF($K53="Tidak ada",0,IF(OR($N53="",$H53=""),"",MAX(0,1-$N53/$H53))))</f>
        <v/>
      </c>
      <c r="AF53" s="4">
        <f>IF(OR($K53="",$K53="Tidak ada"),"",IF(OR($P53="",$H53=""),"",EXP(-$P53/$H53*100/Panduan_W6!$B$10)))</f>
        <v/>
      </c>
      <c r="AG53" s="4">
        <f>IF($Q53="","",IF($Q53="Tidak",1,0))</f>
        <v/>
      </c>
      <c r="AH53" s="5">
        <f>IF(ISNUMBER(AC53),Panduan_W6!$B$4,0)+IF(ISNUMBER(AD53),Panduan_W6!$B$5,0)+IF(ISNUMBER(AE53),Panduan_W6!$B$6,0)+IF(ISNUMBER(AF53),Panduan_W6!$B$7,0)+IF(ISNUMBER(AG53),Panduan_W6!$B$8,0)</f>
        <v/>
      </c>
      <c r="AI53" s="4">
        <f>IF(LEFT(AJ53,7)&lt;&gt;"Lengkap","",IF(AJ53="Lengkap (gang)",AG53,(IF(ISNUMBER(AC53),Panduan_W6!$B$4*AC53,0)+IF(ISNUMBER(AD53),Panduan_W6!$B$5*AD53,0)+IF(ISNUMBER(AE53),Panduan_W6!$B$6*AE53,0)+IF(ISNUMBER(AF53),Panduan_W6!$B$7*AF53,0)+IF(ISNUMBER(AG53),Panduan_W6!$B$8*AG53,0))/AH53))</f>
        <v/>
      </c>
      <c r="AJ53" s="6">
        <f>IF(AND(Panduan_W6!$B$11="Ya",$I53="Gang",$J53="Sepi"),IF(ISNUMBER(AG53),"Lengkap (gang)","Belum lengkap"),IF(AND(ISNUMBER(AC53),ISNUMBER(AD53),ISNUMBER(AE53),ISNUMBER(AG53),OR(ISNUMBER(AF53),$K53="Tidak ada")),"Lengkap","Belum lengkap"))</f>
        <v/>
      </c>
    </row>
    <row r="54" ht="15" customHeight="1">
      <c r="A54" s="3" t="inlineStr">
        <is>
          <t>RUAS-053</t>
        </is>
      </c>
      <c r="B54" s="3" t="inlineStr">
        <is>
          <t>Day 2</t>
        </is>
      </c>
      <c r="C54" s="3" t="inlineStr">
        <is>
          <t>KWS-05</t>
        </is>
      </c>
      <c r="D54" s="3" t="inlineStr">
        <is>
          <t>Andalan</t>
        </is>
      </c>
      <c r="E54" s="3" t="inlineStr">
        <is>
          <t>2026-08-17</t>
        </is>
      </c>
      <c r="F54" s="3" t="inlineStr">
        <is>
          <t>15:54</t>
        </is>
      </c>
      <c r="G54" s="3" t="inlineStr">
        <is>
          <t>Jl. Brojowikalpo</t>
        </is>
      </c>
      <c r="H54" s="3" t="n">
        <v>120</v>
      </c>
      <c r="I54" s="3" t="inlineStr">
        <is>
          <t>Jalan kecil</t>
        </is>
      </c>
      <c r="J54" s="3" t="inlineStr">
        <is>
          <t>Sepi</t>
        </is>
      </c>
      <c r="K54" s="3" t="inlineStr">
        <is>
          <t>Ada</t>
        </is>
      </c>
      <c r="L54" s="3" t="n">
        <v>2</v>
      </c>
      <c r="M54" s="3" t="n">
        <v>0</v>
      </c>
      <c r="N54" s="3" t="n">
        <v>0</v>
      </c>
      <c r="O54" s="3" t="inlineStr">
        <is>
          <t>mobil parkir</t>
        </is>
      </c>
      <c r="P54" s="3" t="n">
        <v>0</v>
      </c>
      <c r="Q54" s="3" t="inlineStr">
        <is>
          <t>Ya</t>
        </is>
      </c>
      <c r="R54" s="3" t="n">
        <v>0</v>
      </c>
      <c r="S54" s="3" t="n">
        <v>0</v>
      </c>
      <c r="T54" s="3" t="n">
        <v>3</v>
      </c>
      <c r="U54" s="3" t="n">
        <v>0</v>
      </c>
      <c r="V54" s="3" t="n">
        <v>60</v>
      </c>
      <c r="W54" s="3" t="inlineStr">
        <is>
          <t>Di bawah 25 persen</t>
        </is>
      </c>
      <c r="X54" s="3" t="n">
        <v>72</v>
      </c>
      <c r="Y54" s="3" t="n">
        <v>2</v>
      </c>
      <c r="Z54" s="3" t="inlineStr">
        <is>
          <t>KOREKSI 2026-09-08 (disetujui pemilik repo): entri asli Trotoar='Ada' tapi Lebar Trotoar=0,0 - bertentangan. Dikonfirmasi pencatat ada trotoar selebar 2 m, jadi Lebar Trotoar -&gt; 2,0. I-2 kini penuh (2,0/1,5 dibatasi 1,0). BELUM DIPUTUSKAN: 'Lebar Jalan (m)' masih 0,0 padahal ruas ini muat satu mobil; dibiarkan apa adanya sampai ada konfirmasi angka sebenarnya.</t>
        </is>
      </c>
      <c r="AA54" s="3" t="n">
        <v>1</v>
      </c>
      <c r="AB54" s="3" t="n">
        <v>1.67</v>
      </c>
      <c r="AC54" s="4">
        <f>IF($K54="","",IF($K54="Ada",1,IF($K54="Sebagian",0.5,0)))</f>
        <v/>
      </c>
      <c r="AD54" s="4">
        <f>IF($K54="","",IF($K54="Tidak ada",0,IF($L54="","",MIN($L54/Panduan_W6!$B$9,1))))</f>
        <v/>
      </c>
      <c r="AE54" s="4">
        <f>IF($K54="","",IF($K54="Tidak ada",0,IF(OR($N54="",$H54=""),"",MAX(0,1-$N54/$H54))))</f>
        <v/>
      </c>
      <c r="AF54" s="4">
        <f>IF(OR($K54="",$K54="Tidak ada"),"",IF(OR($P54="",$H54=""),"",EXP(-$P54/$H54*100/Panduan_W6!$B$10)))</f>
        <v/>
      </c>
      <c r="AG54" s="4">
        <f>IF($Q54="","",IF($Q54="Tidak",1,0))</f>
        <v/>
      </c>
      <c r="AH54" s="5">
        <f>IF(ISNUMBER(AC54),Panduan_W6!$B$4,0)+IF(ISNUMBER(AD54),Panduan_W6!$B$5,0)+IF(ISNUMBER(AE54),Panduan_W6!$B$6,0)+IF(ISNUMBER(AF54),Panduan_W6!$B$7,0)+IF(ISNUMBER(AG54),Panduan_W6!$B$8,0)</f>
        <v/>
      </c>
      <c r="AI54" s="4">
        <f>IF(LEFT(AJ54,7)&lt;&gt;"Lengkap","",IF(AJ54="Lengkap (gang)",AG54,(IF(ISNUMBER(AC54),Panduan_W6!$B$4*AC54,0)+IF(ISNUMBER(AD54),Panduan_W6!$B$5*AD54,0)+IF(ISNUMBER(AE54),Panduan_W6!$B$6*AE54,0)+IF(ISNUMBER(AF54),Panduan_W6!$B$7*AF54,0)+IF(ISNUMBER(AG54),Panduan_W6!$B$8*AG54,0))/AH54))</f>
        <v/>
      </c>
      <c r="AJ54" s="6">
        <f>IF(AND(Panduan_W6!$B$11="Ya",$I54="Gang",$J54="Sepi"),IF(ISNUMBER(AG54),"Lengkap (gang)","Belum lengkap"),IF(AND(ISNUMBER(AC54),ISNUMBER(AD54),ISNUMBER(AE54),ISNUMBER(AG54),OR(ISNUMBER(AF54),$K54="Tidak ada")),"Lengkap","Belum lengkap"))</f>
        <v/>
      </c>
    </row>
    <row r="55" ht="15" customHeight="1">
      <c r="A55" s="3" t="inlineStr">
        <is>
          <t>RUAS-054</t>
        </is>
      </c>
      <c r="B55" s="3" t="inlineStr">
        <is>
          <t>Day 2</t>
        </is>
      </c>
      <c r="C55" s="3" t="inlineStr">
        <is>
          <t>KWS-05</t>
        </is>
      </c>
      <c r="D55" s="3" t="inlineStr">
        <is>
          <t>Theo</t>
        </is>
      </c>
      <c r="E55" s="3" t="inlineStr">
        <is>
          <t>2026-08-17</t>
        </is>
      </c>
      <c r="F55" s="3" t="inlineStr">
        <is>
          <t>16:15</t>
        </is>
      </c>
      <c r="G55" s="3" t="inlineStr">
        <is>
          <t>Jl. Anggajaya Lanjutan</t>
        </is>
      </c>
      <c r="H55" s="3" t="n">
        <v>143.5</v>
      </c>
      <c r="I55" s="3" t="inlineStr">
        <is>
          <t>Jalan raya</t>
        </is>
      </c>
      <c r="J55" s="3" t="inlineStr">
        <is>
          <t>Ramai</t>
        </is>
      </c>
      <c r="K55" s="3" t="inlineStr">
        <is>
          <t>Tidak ada</t>
        </is>
      </c>
      <c r="L55" s="3" t="n">
        <v>0</v>
      </c>
      <c r="M55" s="3" t="n">
        <v>8.5</v>
      </c>
      <c r="N55" s="3" t="n">
        <v>0</v>
      </c>
      <c r="O55" s="3" t="inlineStr">
        <is>
          <t>tidak ada</t>
        </is>
      </c>
      <c r="P55" s="3" t="n">
        <v>0</v>
      </c>
      <c r="Q55" s="3" t="inlineStr">
        <is>
          <t>Ya</t>
        </is>
      </c>
      <c r="R55" s="3" t="n">
        <v>0</v>
      </c>
      <c r="S55" s="3" t="n">
        <v>0</v>
      </c>
      <c r="T55" s="3" t="n">
        <v>4</v>
      </c>
      <c r="U55" s="3" t="n">
        <v>0</v>
      </c>
      <c r="V55" s="3" t="n">
        <v>42.83</v>
      </c>
      <c r="W55" s="3" t="inlineStr">
        <is>
          <t>Nihil</t>
        </is>
      </c>
      <c r="X55" s="3" t="n">
        <v>245</v>
      </c>
      <c r="Y55" s="3" t="n"/>
      <c r="Z55" s="3" t="inlineStr">
        <is>
          <t>jalanan untuk pejalan kakinya ke anyakn got git yang ngk sejajar</t>
        </is>
      </c>
      <c r="AA55" s="3" t="n">
        <v>2</v>
      </c>
      <c r="AB55" s="3" t="n">
        <v>0.59</v>
      </c>
      <c r="AC55" s="4">
        <f>IF($K55="","",IF($K55="Ada",1,IF($K55="Sebagian",0.5,0)))</f>
        <v/>
      </c>
      <c r="AD55" s="4">
        <f>IF($K55="","",IF($K55="Tidak ada",0,IF($L55="","",MIN($L55/Panduan_W6!$B$9,1))))</f>
        <v/>
      </c>
      <c r="AE55" s="4">
        <f>IF($K55="","",IF($K55="Tidak ada",0,IF(OR($N55="",$H55=""),"",MAX(0,1-$N55/$H55))))</f>
        <v/>
      </c>
      <c r="AF55" s="4">
        <f>IF(OR($K55="",$K55="Tidak ada"),"",IF(OR($P55="",$H55=""),"",EXP(-$P55/$H55*100/Panduan_W6!$B$10)))</f>
        <v/>
      </c>
      <c r="AG55" s="4">
        <f>IF($Q55="","",IF($Q55="Tidak",1,0))</f>
        <v/>
      </c>
      <c r="AH55" s="5">
        <f>IF(ISNUMBER(AC55),Panduan_W6!$B$4,0)+IF(ISNUMBER(AD55),Panduan_W6!$B$5,0)+IF(ISNUMBER(AE55),Panduan_W6!$B$6,0)+IF(ISNUMBER(AF55),Panduan_W6!$B$7,0)+IF(ISNUMBER(AG55),Panduan_W6!$B$8,0)</f>
        <v/>
      </c>
      <c r="AI55" s="4">
        <f>IF(LEFT(AJ55,7)&lt;&gt;"Lengkap","",IF(AJ55="Lengkap (gang)",AG55,(IF(ISNUMBER(AC55),Panduan_W6!$B$4*AC55,0)+IF(ISNUMBER(AD55),Panduan_W6!$B$5*AD55,0)+IF(ISNUMBER(AE55),Panduan_W6!$B$6*AE55,0)+IF(ISNUMBER(AF55),Panduan_W6!$B$7*AF55,0)+IF(ISNUMBER(AG55),Panduan_W6!$B$8*AG55,0))/AH55))</f>
        <v/>
      </c>
      <c r="AJ55" s="6">
        <f>IF(AND(Panduan_W6!$B$11="Ya",$I55="Gang",$J55="Sepi"),IF(ISNUMBER(AG55),"Lengkap (gang)","Belum lengkap"),IF(AND(ISNUMBER(AC55),ISNUMBER(AD55),ISNUMBER(AE55),ISNUMBER(AG55),OR(ISNUMBER(AF55),$K55="Tidak ada")),"Lengkap","Belum lengkap"))</f>
        <v/>
      </c>
    </row>
    <row r="56" ht="15" customHeight="1">
      <c r="A56" s="3" t="inlineStr">
        <is>
          <t>RUAS-055</t>
        </is>
      </c>
      <c r="B56" s="3" t="inlineStr">
        <is>
          <t>Day 2</t>
        </is>
      </c>
      <c r="C56" s="3" t="inlineStr">
        <is>
          <t>KWS-02</t>
        </is>
      </c>
      <c r="D56" s="3" t="inlineStr">
        <is>
          <t>Devon</t>
        </is>
      </c>
      <c r="E56" s="3" t="inlineStr">
        <is>
          <t>2026-08-17</t>
        </is>
      </c>
      <c r="F56" s="3" t="inlineStr">
        <is>
          <t>16:26</t>
        </is>
      </c>
      <c r="G56" s="3" t="inlineStr">
        <is>
          <t>Jl. Jangkar Bumi</t>
        </is>
      </c>
      <c r="H56" s="3" t="n">
        <v>190</v>
      </c>
      <c r="I56" s="3" t="inlineStr">
        <is>
          <t>Gang</t>
        </is>
      </c>
      <c r="J56" s="3" t="inlineStr">
        <is>
          <t>Sepi</t>
        </is>
      </c>
      <c r="K56" s="3" t="inlineStr">
        <is>
          <t>Tidak ada</t>
        </is>
      </c>
      <c r="L56" s="3" t="n">
        <v>0</v>
      </c>
      <c r="M56" s="3" t="n">
        <v>3</v>
      </c>
      <c r="N56" s="3" t="n">
        <v>0</v>
      </c>
      <c r="O56" s="3" t="inlineStr">
        <is>
          <t>parkir motor</t>
        </is>
      </c>
      <c r="P56" s="3" t="n">
        <v>0</v>
      </c>
      <c r="Q56" s="3" t="inlineStr">
        <is>
          <t>Ya</t>
        </is>
      </c>
      <c r="R56" s="3" t="n">
        <v>0</v>
      </c>
      <c r="S56" s="3" t="n">
        <v>0</v>
      </c>
      <c r="T56" s="3" t="n">
        <v>4</v>
      </c>
      <c r="U56" s="3" t="n">
        <v>0</v>
      </c>
      <c r="V56" s="3" t="n">
        <v>16</v>
      </c>
      <c r="W56" s="3" t="inlineStr">
        <is>
          <t>Nihil</t>
        </is>
      </c>
      <c r="X56" s="3" t="n">
        <v>174</v>
      </c>
      <c r="Y56" s="3" t="n">
        <v>2</v>
      </c>
      <c r="Z56" s="3" t="n"/>
      <c r="AA56" s="3" t="n">
        <v>1</v>
      </c>
      <c r="AB56" s="3" t="n">
        <v>1.09</v>
      </c>
      <c r="AC56" s="4">
        <f>IF($K56="","",IF($K56="Ada",1,IF($K56="Sebagian",0.5,0)))</f>
        <v/>
      </c>
      <c r="AD56" s="4">
        <f>IF($K56="","",IF($K56="Tidak ada",0,IF($L56="","",MIN($L56/Panduan_W6!$B$9,1))))</f>
        <v/>
      </c>
      <c r="AE56" s="4">
        <f>IF($K56="","",IF($K56="Tidak ada",0,IF(OR($N56="",$H56=""),"",MAX(0,1-$N56/$H56))))</f>
        <v/>
      </c>
      <c r="AF56" s="4">
        <f>IF(OR($K56="",$K56="Tidak ada"),"",IF(OR($P56="",$H56=""),"",EXP(-$P56/$H56*100/Panduan_W6!$B$10)))</f>
        <v/>
      </c>
      <c r="AG56" s="4">
        <f>IF($Q56="","",IF($Q56="Tidak",1,0))</f>
        <v/>
      </c>
      <c r="AH56" s="5">
        <f>IF(ISNUMBER(AC56),Panduan_W6!$B$4,0)+IF(ISNUMBER(AD56),Panduan_W6!$B$5,0)+IF(ISNUMBER(AE56),Panduan_W6!$B$6,0)+IF(ISNUMBER(AF56),Panduan_W6!$B$7,0)+IF(ISNUMBER(AG56),Panduan_W6!$B$8,0)</f>
        <v/>
      </c>
      <c r="AI56" s="4">
        <f>IF(LEFT(AJ56,7)&lt;&gt;"Lengkap","",IF(AJ56="Lengkap (gang)",AG56,(IF(ISNUMBER(AC56),Panduan_W6!$B$4*AC56,0)+IF(ISNUMBER(AD56),Panduan_W6!$B$5*AD56,0)+IF(ISNUMBER(AE56),Panduan_W6!$B$6*AE56,0)+IF(ISNUMBER(AF56),Panduan_W6!$B$7*AF56,0)+IF(ISNUMBER(AG56),Panduan_W6!$B$8*AG56,0))/AH56))</f>
        <v/>
      </c>
      <c r="AJ56" s="6">
        <f>IF(AND(Panduan_W6!$B$11="Ya",$I56="Gang",$J56="Sepi"),IF(ISNUMBER(AG56),"Lengkap (gang)","Belum lengkap"),IF(AND(ISNUMBER(AC56),ISNUMBER(AD56),ISNUMBER(AE56),ISNUMBER(AG56),OR(ISNUMBER(AF56),$K56="Tidak ada")),"Lengkap","Belum lengkap"))</f>
        <v/>
      </c>
    </row>
    <row r="57" ht="15" customHeight="1">
      <c r="A57" s="3" t="inlineStr">
        <is>
          <t>RUAS-056</t>
        </is>
      </c>
      <c r="B57" s="3" t="inlineStr">
        <is>
          <t>Day 2</t>
        </is>
      </c>
      <c r="C57" s="3" t="inlineStr">
        <is>
          <t>KWS-02</t>
        </is>
      </c>
      <c r="D57" s="3" t="inlineStr">
        <is>
          <t>Delon</t>
        </is>
      </c>
      <c r="E57" s="3" t="inlineStr">
        <is>
          <t>2026-08-17</t>
        </is>
      </c>
      <c r="F57" s="3" t="inlineStr">
        <is>
          <t>17:20</t>
        </is>
      </c>
      <c r="G57" s="3" t="inlineStr">
        <is>
          <t>Jl. Ring Road Utara</t>
        </is>
      </c>
      <c r="H57" s="3" t="n">
        <v>188</v>
      </c>
      <c r="I57" s="3" t="inlineStr">
        <is>
          <t>Jalan raya</t>
        </is>
      </c>
      <c r="J57" s="3" t="inlineStr">
        <is>
          <t>Ramai</t>
        </is>
      </c>
      <c r="K57" s="3" t="inlineStr">
        <is>
          <t>Tidak ada</t>
        </is>
      </c>
      <c r="L57" s="3" t="n">
        <v>0</v>
      </c>
      <c r="M57" s="3" t="n">
        <v>20</v>
      </c>
      <c r="N57" s="3" t="n">
        <v>0</v>
      </c>
      <c r="O57" s="3" t="inlineStr">
        <is>
          <t>tidak ada</t>
        </is>
      </c>
      <c r="P57" s="3" t="n">
        <v>0</v>
      </c>
      <c r="Q57" s="3" t="inlineStr">
        <is>
          <t>Ya</t>
        </is>
      </c>
      <c r="R57" s="3" t="n">
        <v>0</v>
      </c>
      <c r="S57" s="3" t="n">
        <v>0</v>
      </c>
      <c r="T57" s="3" t="n">
        <v>2</v>
      </c>
      <c r="U57" s="3" t="n">
        <v>0</v>
      </c>
      <c r="V57" s="3" t="n">
        <v>50</v>
      </c>
      <c r="W57" s="3" t="inlineStr">
        <is>
          <t>Di bawah 25 persen</t>
        </is>
      </c>
      <c r="X57" s="3" t="n">
        <v>170</v>
      </c>
      <c r="Y57" s="3" t="n">
        <v>2</v>
      </c>
      <c r="Z57" s="3" t="inlineStr">
        <is>
          <t>tidak ada trotoar dan fasilitas penyeberangan sama sekali, kendaraan melaju sangat kencang, sebaguan area pehalan merupakan parkiran pertokoan dengan medan bebatuan sisanya harus berjalan di area jalan raya</t>
        </is>
      </c>
      <c r="AA57" s="3" t="n">
        <v>6</v>
      </c>
      <c r="AB57" s="3" t="n">
        <v>1.11</v>
      </c>
      <c r="AC57" s="4">
        <f>IF($K57="","",IF($K57="Ada",1,IF($K57="Sebagian",0.5,0)))</f>
        <v/>
      </c>
      <c r="AD57" s="4">
        <f>IF($K57="","",IF($K57="Tidak ada",0,IF($L57="","",MIN($L57/Panduan_W6!$B$9,1))))</f>
        <v/>
      </c>
      <c r="AE57" s="4">
        <f>IF($K57="","",IF($K57="Tidak ada",0,IF(OR($N57="",$H57=""),"",MAX(0,1-$N57/$H57))))</f>
        <v/>
      </c>
      <c r="AF57" s="4">
        <f>IF(OR($K57="",$K57="Tidak ada"),"",IF(OR($P57="",$H57=""),"",EXP(-$P57/$H57*100/Panduan_W6!$B$10)))</f>
        <v/>
      </c>
      <c r="AG57" s="4">
        <f>IF($Q57="","",IF($Q57="Tidak",1,0))</f>
        <v/>
      </c>
      <c r="AH57" s="5">
        <f>IF(ISNUMBER(AC57),Panduan_W6!$B$4,0)+IF(ISNUMBER(AD57),Panduan_W6!$B$5,0)+IF(ISNUMBER(AE57),Panduan_W6!$B$6,0)+IF(ISNUMBER(AF57),Panduan_W6!$B$7,0)+IF(ISNUMBER(AG57),Panduan_W6!$B$8,0)</f>
        <v/>
      </c>
      <c r="AI57" s="4">
        <f>IF(LEFT(AJ57,7)&lt;&gt;"Lengkap","",IF(AJ57="Lengkap (gang)",AG57,(IF(ISNUMBER(AC57),Panduan_W6!$B$4*AC57,0)+IF(ISNUMBER(AD57),Panduan_W6!$B$5*AD57,0)+IF(ISNUMBER(AE57),Panduan_W6!$B$6*AE57,0)+IF(ISNUMBER(AF57),Panduan_W6!$B$7*AF57,0)+IF(ISNUMBER(AG57),Panduan_W6!$B$8*AG57,0))/AH57))</f>
        <v/>
      </c>
      <c r="AJ57" s="6">
        <f>IF(AND(Panduan_W6!$B$11="Ya",$I57="Gang",$J57="Sepi"),IF(ISNUMBER(AG57),"Lengkap (gang)","Belum lengkap"),IF(AND(ISNUMBER(AC57),ISNUMBER(AD57),ISNUMBER(AE57),ISNUMBER(AG57),OR(ISNUMBER(AF57),$K57="Tidak ada")),"Lengkap","Belum lengkap"))</f>
        <v/>
      </c>
    </row>
    <row r="58" ht="15" customHeight="1">
      <c r="A58" s="3" t="inlineStr">
        <is>
          <t>RUAS-057</t>
        </is>
      </c>
      <c r="B58" s="3" t="inlineStr">
        <is>
          <t>Day 2</t>
        </is>
      </c>
      <c r="C58" s="3" t="inlineStr">
        <is>
          <t>KWS-02</t>
        </is>
      </c>
      <c r="D58" s="3" t="inlineStr">
        <is>
          <t>Delon</t>
        </is>
      </c>
      <c r="E58" s="3" t="inlineStr">
        <is>
          <t>2026-08-17</t>
        </is>
      </c>
      <c r="F58" s="3" t="inlineStr">
        <is>
          <t>17:29</t>
        </is>
      </c>
      <c r="G58" s="3" t="inlineStr">
        <is>
          <t>Jl. Ring Road Utara</t>
        </is>
      </c>
      <c r="H58" s="3" t="n">
        <v>136</v>
      </c>
      <c r="I58" s="3" t="inlineStr">
        <is>
          <t>Jalan raya</t>
        </is>
      </c>
      <c r="J58" s="3" t="inlineStr">
        <is>
          <t>Ramai</t>
        </is>
      </c>
      <c r="K58" s="3" t="inlineStr">
        <is>
          <t>Sebagian</t>
        </is>
      </c>
      <c r="L58" s="3" t="n">
        <v>1.5</v>
      </c>
      <c r="M58" s="3" t="n">
        <v>20</v>
      </c>
      <c r="N58" s="3" t="n">
        <v>92</v>
      </c>
      <c r="O58" s="3" t="inlineStr">
        <is>
          <t>tidak ada</t>
        </is>
      </c>
      <c r="P58" s="3" t="n">
        <v>1</v>
      </c>
      <c r="Q58" s="3" t="inlineStr">
        <is>
          <t>Ya</t>
        </is>
      </c>
      <c r="R58" s="3" t="n">
        <v>0</v>
      </c>
      <c r="S58" s="3" t="n">
        <v>0</v>
      </c>
      <c r="T58" s="3" t="n">
        <v>2</v>
      </c>
      <c r="U58" s="3" t="n">
        <v>0</v>
      </c>
      <c r="V58" s="3" t="n">
        <v>65</v>
      </c>
      <c r="W58" s="3" t="inlineStr">
        <is>
          <t>25 sampai 50 persen</t>
        </is>
      </c>
      <c r="X58" s="3" t="n">
        <v>121</v>
      </c>
      <c r="Y58" s="3" t="n">
        <v>1</v>
      </c>
      <c r="Z58" s="3" t="inlineStr">
        <is>
          <t>tidak ramah pejalan kaki, mayoritas area berjalan mepet di sisi jalan</t>
        </is>
      </c>
      <c r="AA58" s="3" t="n">
        <v>6</v>
      </c>
      <c r="AB58" s="3" t="n">
        <v>1.12</v>
      </c>
      <c r="AC58" s="4">
        <f>IF($K58="","",IF($K58="Ada",1,IF($K58="Sebagian",0.5,0)))</f>
        <v/>
      </c>
      <c r="AD58" s="4">
        <f>IF($K58="","",IF($K58="Tidak ada",0,IF($L58="","",MIN($L58/Panduan_W6!$B$9,1))))</f>
        <v/>
      </c>
      <c r="AE58" s="4">
        <f>IF($K58="","",IF($K58="Tidak ada",0,IF(OR($N58="",$H58=""),"",MAX(0,1-$N58/$H58))))</f>
        <v/>
      </c>
      <c r="AF58" s="4">
        <f>IF(OR($K58="",$K58="Tidak ada"),"",IF(OR($P58="",$H58=""),"",EXP(-$P58/$H58*100/Panduan_W6!$B$10)))</f>
        <v/>
      </c>
      <c r="AG58" s="4">
        <f>IF($Q58="","",IF($Q58="Tidak",1,0))</f>
        <v/>
      </c>
      <c r="AH58" s="5">
        <f>IF(ISNUMBER(AC58),Panduan_W6!$B$4,0)+IF(ISNUMBER(AD58),Panduan_W6!$B$5,0)+IF(ISNUMBER(AE58),Panduan_W6!$B$6,0)+IF(ISNUMBER(AF58),Panduan_W6!$B$7,0)+IF(ISNUMBER(AG58),Panduan_W6!$B$8,0)</f>
        <v/>
      </c>
      <c r="AI58" s="4">
        <f>IF(LEFT(AJ58,7)&lt;&gt;"Lengkap","",IF(AJ58="Lengkap (gang)",AG58,(IF(ISNUMBER(AC58),Panduan_W6!$B$4*AC58,0)+IF(ISNUMBER(AD58),Panduan_W6!$B$5*AD58,0)+IF(ISNUMBER(AE58),Panduan_W6!$B$6*AE58,0)+IF(ISNUMBER(AF58),Panduan_W6!$B$7*AF58,0)+IF(ISNUMBER(AG58),Panduan_W6!$B$8*AG58,0))/AH58))</f>
        <v/>
      </c>
      <c r="AJ58" s="6">
        <f>IF(AND(Panduan_W6!$B$11="Ya",$I58="Gang",$J58="Sepi"),IF(ISNUMBER(AG58),"Lengkap (gang)","Belum lengkap"),IF(AND(ISNUMBER(AC58),ISNUMBER(AD58),ISNUMBER(AE58),ISNUMBER(AG58),OR(ISNUMBER(AF58),$K58="Tidak ada")),"Lengkap","Belum lengkap"))</f>
        <v/>
      </c>
    </row>
    <row r="59" ht="15" customHeight="1">
      <c r="A59" s="3" t="inlineStr">
        <is>
          <t>RUAS-058</t>
        </is>
      </c>
      <c r="B59" s="3" t="inlineStr">
        <is>
          <t>Day 2</t>
        </is>
      </c>
      <c r="C59" s="3" t="inlineStr">
        <is>
          <t>KWS-02</t>
        </is>
      </c>
      <c r="D59" s="3" t="inlineStr">
        <is>
          <t>Delon</t>
        </is>
      </c>
      <c r="E59" s="3" t="inlineStr">
        <is>
          <t>2026-08-17</t>
        </is>
      </c>
      <c r="F59" s="3" t="inlineStr">
        <is>
          <t>17:41</t>
        </is>
      </c>
      <c r="G59" s="3" t="inlineStr">
        <is>
          <t>Jl. Utama, Pugeran, maguwoharjo</t>
        </is>
      </c>
      <c r="H59" s="3" t="n">
        <v>150</v>
      </c>
      <c r="I59" s="3" t="inlineStr">
        <is>
          <t>Jalan raya</t>
        </is>
      </c>
      <c r="J59" s="3" t="inlineStr">
        <is>
          <t>Sedang</t>
        </is>
      </c>
      <c r="K59" s="3" t="inlineStr">
        <is>
          <t>Tidak ada</t>
        </is>
      </c>
      <c r="L59" s="3" t="n">
        <v>0</v>
      </c>
      <c r="M59" s="3" t="n">
        <v>5</v>
      </c>
      <c r="N59" s="3" t="n">
        <v>0</v>
      </c>
      <c r="O59" s="3" t="inlineStr">
        <is>
          <t>tidak ada</t>
        </is>
      </c>
      <c r="P59" s="3" t="n">
        <v>0</v>
      </c>
      <c r="Q59" s="3" t="inlineStr">
        <is>
          <t>Ya</t>
        </is>
      </c>
      <c r="R59" s="3" t="n">
        <v>0</v>
      </c>
      <c r="S59" s="3" t="n">
        <v>0</v>
      </c>
      <c r="T59" s="3" t="n">
        <v>6</v>
      </c>
      <c r="U59" s="3" t="n">
        <v>0</v>
      </c>
      <c r="V59" s="3" t="n">
        <v>25</v>
      </c>
      <c r="W59" s="3" t="inlineStr">
        <is>
          <t>Di bawah 25 persen</t>
        </is>
      </c>
      <c r="X59" s="3" t="n">
        <v>130</v>
      </c>
      <c r="Y59" s="3" t="n">
        <v>2</v>
      </c>
      <c r="Z59" s="3" t="inlineStr">
        <is>
          <t>jalan aspal, didominasi perumahan dan beberapa pertokoan, elevasi menanjak di ujung jalan (dari arah jl ring road)</t>
        </is>
      </c>
      <c r="AA59" s="3" t="n">
        <v>2</v>
      </c>
      <c r="AB59" s="3" t="n">
        <v>1.15</v>
      </c>
      <c r="AC59" s="4">
        <f>IF($K59="","",IF($K59="Ada",1,IF($K59="Sebagian",0.5,0)))</f>
        <v/>
      </c>
      <c r="AD59" s="4">
        <f>IF($K59="","",IF($K59="Tidak ada",0,IF($L59="","",MIN($L59/Panduan_W6!$B$9,1))))</f>
        <v/>
      </c>
      <c r="AE59" s="4">
        <f>IF($K59="","",IF($K59="Tidak ada",0,IF(OR($N59="",$H59=""),"",MAX(0,1-$N59/$H59))))</f>
        <v/>
      </c>
      <c r="AF59" s="4">
        <f>IF(OR($K59="",$K59="Tidak ada"),"",IF(OR($P59="",$H59=""),"",EXP(-$P59/$H59*100/Panduan_W6!$B$10)))</f>
        <v/>
      </c>
      <c r="AG59" s="4">
        <f>IF($Q59="","",IF($Q59="Tidak",1,0))</f>
        <v/>
      </c>
      <c r="AH59" s="5">
        <f>IF(ISNUMBER(AC59),Panduan_W6!$B$4,0)+IF(ISNUMBER(AD59),Panduan_W6!$B$5,0)+IF(ISNUMBER(AE59),Panduan_W6!$B$6,0)+IF(ISNUMBER(AF59),Panduan_W6!$B$7,0)+IF(ISNUMBER(AG59),Panduan_W6!$B$8,0)</f>
        <v/>
      </c>
      <c r="AI59" s="4">
        <f>IF(LEFT(AJ59,7)&lt;&gt;"Lengkap","",IF(AJ59="Lengkap (gang)",AG59,(IF(ISNUMBER(AC59),Panduan_W6!$B$4*AC59,0)+IF(ISNUMBER(AD59),Panduan_W6!$B$5*AD59,0)+IF(ISNUMBER(AE59),Panduan_W6!$B$6*AE59,0)+IF(ISNUMBER(AF59),Panduan_W6!$B$7*AF59,0)+IF(ISNUMBER(AG59),Panduan_W6!$B$8*AG59,0))/AH59))</f>
        <v/>
      </c>
      <c r="AJ59" s="6">
        <f>IF(AND(Panduan_W6!$B$11="Ya",$I59="Gang",$J59="Sepi"),IF(ISNUMBER(AG59),"Lengkap (gang)","Belum lengkap"),IF(AND(ISNUMBER(AC59),ISNUMBER(AD59),ISNUMBER(AE59),ISNUMBER(AG59),OR(ISNUMBER(AF59),$K59="Tidak ada")),"Lengkap","Belum lengkap"))</f>
        <v/>
      </c>
    </row>
    <row r="60" ht="15" customHeight="1">
      <c r="A60" s="3" t="inlineStr">
        <is>
          <t>RUAS-059</t>
        </is>
      </c>
      <c r="B60" s="3" t="inlineStr">
        <is>
          <t>Day 2</t>
        </is>
      </c>
      <c r="C60" s="3" t="inlineStr">
        <is>
          <t>KWS-08</t>
        </is>
      </c>
      <c r="D60" s="3" t="inlineStr">
        <is>
          <t>Andalan</t>
        </is>
      </c>
      <c r="E60" s="3" t="inlineStr">
        <is>
          <t>2026-08-17</t>
        </is>
      </c>
      <c r="F60" s="3" t="inlineStr">
        <is>
          <t>17:48</t>
        </is>
      </c>
      <c r="G60" s="3" t="inlineStr">
        <is>
          <t>Jl. Raya Tajem</t>
        </is>
      </c>
      <c r="H60" s="3" t="n">
        <v>146.45</v>
      </c>
      <c r="I60" s="3" t="inlineStr">
        <is>
          <t>Jalan raya</t>
        </is>
      </c>
      <c r="J60" s="3" t="inlineStr">
        <is>
          <t>Ramai</t>
        </is>
      </c>
      <c r="K60" s="3" t="inlineStr">
        <is>
          <t>Sebagian</t>
        </is>
      </c>
      <c r="L60" s="3" t="n">
        <v>4</v>
      </c>
      <c r="M60" s="3" t="n">
        <v>12</v>
      </c>
      <c r="N60" s="3" t="n"/>
      <c r="O60" s="3" t="inlineStr">
        <is>
          <t>tiang listrik</t>
        </is>
      </c>
      <c r="P60" s="3" t="n">
        <v>5</v>
      </c>
      <c r="Q60" s="3" t="inlineStr">
        <is>
          <t>Ya</t>
        </is>
      </c>
      <c r="R60" s="3" t="n">
        <v>2</v>
      </c>
      <c r="S60" s="3" t="n">
        <v>0</v>
      </c>
      <c r="T60" s="3" t="n">
        <v>4</v>
      </c>
      <c r="U60" s="3" t="n">
        <v>1</v>
      </c>
      <c r="V60" s="3" t="n">
        <v>50</v>
      </c>
      <c r="W60" s="3" t="inlineStr">
        <is>
          <t>25 sampai 50 persen</t>
        </is>
      </c>
      <c r="X60" s="3" t="n">
        <v>117</v>
      </c>
      <c r="Y60" s="3" t="n">
        <v>2</v>
      </c>
      <c r="Z60" s="3" t="inlineStr">
        <is>
          <t>satu lampu mati. ada pohon besar di dpn sekolah jadi rindang. trotoar hanya ada di area sekolah, sisanya pasir</t>
        </is>
      </c>
      <c r="AA60" s="3" t="n">
        <v>3</v>
      </c>
      <c r="AB60" s="3" t="n">
        <v>1.25</v>
      </c>
      <c r="AC60" s="4">
        <f>IF($K60="","",IF($K60="Ada",1,IF($K60="Sebagian",0.5,0)))</f>
        <v/>
      </c>
      <c r="AD60" s="4">
        <f>IF($K60="","",IF($K60="Tidak ada",0,IF($L60="","",MIN($L60/Panduan_W6!$B$9,1))))</f>
        <v/>
      </c>
      <c r="AE60" s="4">
        <f>IF($K60="","",IF($K60="Tidak ada",0,IF(OR($N60="",$H60=""),"",MAX(0,1-$N60/$H60))))</f>
        <v/>
      </c>
      <c r="AF60" s="4">
        <f>IF(OR($K60="",$K60="Tidak ada"),"",IF(OR($P60="",$H60=""),"",EXP(-$P60/$H60*100/Panduan_W6!$B$10)))</f>
        <v/>
      </c>
      <c r="AG60" s="4">
        <f>IF($Q60="","",IF($Q60="Tidak",1,0))</f>
        <v/>
      </c>
      <c r="AH60" s="5">
        <f>IF(ISNUMBER(AC60),Panduan_W6!$B$4,0)+IF(ISNUMBER(AD60),Panduan_W6!$B$5,0)+IF(ISNUMBER(AE60),Panduan_W6!$B$6,0)+IF(ISNUMBER(AF60),Panduan_W6!$B$7,0)+IF(ISNUMBER(AG60),Panduan_W6!$B$8,0)</f>
        <v/>
      </c>
      <c r="AI60" s="4">
        <f>IF(LEFT(AJ60,7)&lt;&gt;"Lengkap","",IF(AJ60="Lengkap (gang)",AG60,(IF(ISNUMBER(AC60),Panduan_W6!$B$4*AC60,0)+IF(ISNUMBER(AD60),Panduan_W6!$B$5*AD60,0)+IF(ISNUMBER(AE60),Panduan_W6!$B$6*AE60,0)+IF(ISNUMBER(AF60),Panduan_W6!$B$7*AF60,0)+IF(ISNUMBER(AG60),Panduan_W6!$B$8*AG60,0))/AH60))</f>
        <v/>
      </c>
      <c r="AJ60" s="6">
        <f>IF(AND(Panduan_W6!$B$11="Ya",$I60="Gang",$J60="Sepi"),IF(ISNUMBER(AG60),"Lengkap (gang)","Belum lengkap"),IF(AND(ISNUMBER(AC60),ISNUMBER(AD60),ISNUMBER(AE60),ISNUMBER(AG60),OR(ISNUMBER(AF60),$K60="Tidak ada")),"Lengkap","Belum lengkap"))</f>
        <v/>
      </c>
    </row>
    <row r="61" ht="15" customHeight="1">
      <c r="A61" s="3" t="inlineStr">
        <is>
          <t>RUAS-060</t>
        </is>
      </c>
      <c r="B61" s="3" t="inlineStr">
        <is>
          <t>Day 2</t>
        </is>
      </c>
      <c r="C61" s="3" t="inlineStr">
        <is>
          <t>KWS-02</t>
        </is>
      </c>
      <c r="D61" s="3" t="inlineStr">
        <is>
          <t>Devon</t>
        </is>
      </c>
      <c r="E61" s="3" t="inlineStr">
        <is>
          <t>2026-08-17</t>
        </is>
      </c>
      <c r="F61" s="3" t="inlineStr">
        <is>
          <t>17:53</t>
        </is>
      </c>
      <c r="G61" s="3" t="inlineStr">
        <is>
          <t>Jl. Ring Road Utara</t>
        </is>
      </c>
      <c r="H61" s="3" t="n">
        <v>255</v>
      </c>
      <c r="I61" s="3" t="inlineStr">
        <is>
          <t>Jalan raya</t>
        </is>
      </c>
      <c r="J61" s="3" t="inlineStr">
        <is>
          <t>Ramai</t>
        </is>
      </c>
      <c r="K61" s="3" t="inlineStr">
        <is>
          <t>Ada</t>
        </is>
      </c>
      <c r="L61" s="3" t="n">
        <v>1.5</v>
      </c>
      <c r="M61" s="3" t="n">
        <v>20</v>
      </c>
      <c r="N61" s="3" t="n">
        <v>0</v>
      </c>
      <c r="O61" s="3" t="inlineStr">
        <is>
          <t>tidak ada</t>
        </is>
      </c>
      <c r="P61" s="3" t="n">
        <v>1</v>
      </c>
      <c r="Q61" s="3" t="inlineStr">
        <is>
          <t>Tidak</t>
        </is>
      </c>
      <c r="R61" s="3" t="n">
        <v>0</v>
      </c>
      <c r="S61" s="3" t="n">
        <v>0</v>
      </c>
      <c r="T61" s="3" t="n">
        <v>6</v>
      </c>
      <c r="U61" s="3" t="n">
        <v>0</v>
      </c>
      <c r="V61" s="3" t="n">
        <v>25</v>
      </c>
      <c r="W61" s="3" t="inlineStr">
        <is>
          <t>Nihil</t>
        </is>
      </c>
      <c r="X61" s="3" t="n">
        <v>230</v>
      </c>
      <c r="Y61" s="3" t="n">
        <v>2</v>
      </c>
      <c r="Z61" s="3" t="n"/>
      <c r="AA61" s="3" t="n">
        <v>3</v>
      </c>
      <c r="AB61" s="3" t="n">
        <v>1.11</v>
      </c>
      <c r="AC61" s="4">
        <f>IF($K61="","",IF($K61="Ada",1,IF($K61="Sebagian",0.5,0)))</f>
        <v/>
      </c>
      <c r="AD61" s="4">
        <f>IF($K61="","",IF($K61="Tidak ada",0,IF($L61="","",MIN($L61/Panduan_W6!$B$9,1))))</f>
        <v/>
      </c>
      <c r="AE61" s="4">
        <f>IF($K61="","",IF($K61="Tidak ada",0,IF(OR($N61="",$H61=""),"",MAX(0,1-$N61/$H61))))</f>
        <v/>
      </c>
      <c r="AF61" s="4">
        <f>IF(OR($K61="",$K61="Tidak ada"),"",IF(OR($P61="",$H61=""),"",EXP(-$P61/$H61*100/Panduan_W6!$B$10)))</f>
        <v/>
      </c>
      <c r="AG61" s="4">
        <f>IF($Q61="","",IF($Q61="Tidak",1,0))</f>
        <v/>
      </c>
      <c r="AH61" s="5">
        <f>IF(ISNUMBER(AC61),Panduan_W6!$B$4,0)+IF(ISNUMBER(AD61),Panduan_W6!$B$5,0)+IF(ISNUMBER(AE61),Panduan_W6!$B$6,0)+IF(ISNUMBER(AF61),Panduan_W6!$B$7,0)+IF(ISNUMBER(AG61),Panduan_W6!$B$8,0)</f>
        <v/>
      </c>
      <c r="AI61" s="4">
        <f>IF(LEFT(AJ61,7)&lt;&gt;"Lengkap","",IF(AJ61="Lengkap (gang)",AG61,(IF(ISNUMBER(AC61),Panduan_W6!$B$4*AC61,0)+IF(ISNUMBER(AD61),Panduan_W6!$B$5*AD61,0)+IF(ISNUMBER(AE61),Panduan_W6!$B$6*AE61,0)+IF(ISNUMBER(AF61),Panduan_W6!$B$7*AF61,0)+IF(ISNUMBER(AG61),Panduan_W6!$B$8*AG61,0))/AH61))</f>
        <v/>
      </c>
      <c r="AJ61" s="6">
        <f>IF(AND(Panduan_W6!$B$11="Ya",$I61="Gang",$J61="Sepi"),IF(ISNUMBER(AG61),"Lengkap (gang)","Belum lengkap"),IF(AND(ISNUMBER(AC61),ISNUMBER(AD61),ISNUMBER(AE61),ISNUMBER(AG61),OR(ISNUMBER(AF61),$K61="Tidak ada")),"Lengkap","Belum lengkap"))</f>
        <v/>
      </c>
    </row>
    <row r="62" ht="15" customHeight="1">
      <c r="A62" s="3" t="inlineStr">
        <is>
          <t>RUAS-061</t>
        </is>
      </c>
      <c r="B62" s="3" t="inlineStr">
        <is>
          <t>Day 2</t>
        </is>
      </c>
      <c r="C62" s="3" t="inlineStr">
        <is>
          <t>KWS-02</t>
        </is>
      </c>
      <c r="D62" s="3" t="inlineStr">
        <is>
          <t>Devon</t>
        </is>
      </c>
      <c r="E62" s="3" t="inlineStr">
        <is>
          <t>2026-08-17</t>
        </is>
      </c>
      <c r="F62" s="3" t="inlineStr">
        <is>
          <t>17:53</t>
        </is>
      </c>
      <c r="G62" s="3" t="n"/>
      <c r="H62" s="3" t="n">
        <v>160</v>
      </c>
      <c r="I62" s="3" t="inlineStr">
        <is>
          <t>Jalan kecil</t>
        </is>
      </c>
      <c r="J62" s="3" t="inlineStr">
        <is>
          <t>Sedang</t>
        </is>
      </c>
      <c r="K62" s="3" t="inlineStr">
        <is>
          <t>Tidak ada</t>
        </is>
      </c>
      <c r="L62" s="3" t="n">
        <v>0</v>
      </c>
      <c r="M62" s="3" t="n"/>
      <c r="N62" s="3" t="n"/>
      <c r="O62" s="3" t="n"/>
      <c r="P62" s="3" t="n"/>
      <c r="Q62" s="3" t="n"/>
      <c r="R62" s="3" t="n"/>
      <c r="S62" s="3" t="n"/>
      <c r="T62" s="3" t="n"/>
      <c r="U62" s="3" t="n"/>
      <c r="V62" s="3" t="n"/>
      <c r="W62" s="3" t="n"/>
      <c r="X62" s="3" t="n"/>
      <c r="Y62" s="3" t="n"/>
      <c r="Z62" s="3" t="n"/>
      <c r="AA62" s="3" t="n">
        <v>3</v>
      </c>
      <c r="AB62" s="3" t="n"/>
      <c r="AC62" s="4">
        <f>IF($K62="","",IF($K62="Ada",1,IF($K62="Sebagian",0.5,0)))</f>
        <v/>
      </c>
      <c r="AD62" s="4">
        <f>IF($K62="","",IF($K62="Tidak ada",0,IF($L62="","",MIN($L62/Panduan_W6!$B$9,1))))</f>
        <v/>
      </c>
      <c r="AE62" s="4">
        <f>IF($K62="","",IF($K62="Tidak ada",0,IF(OR($N62="",$H62=""),"",MAX(0,1-$N62/$H62))))</f>
        <v/>
      </c>
      <c r="AF62" s="4">
        <f>IF(OR($K62="",$K62="Tidak ada"),"",IF(OR($P62="",$H62=""),"",EXP(-$P62/$H62*100/Panduan_W6!$B$10)))</f>
        <v/>
      </c>
      <c r="AG62" s="4">
        <f>IF($Q62="","",IF($Q62="Tidak",1,0))</f>
        <v/>
      </c>
      <c r="AH62" s="5">
        <f>IF(ISNUMBER(AC62),Panduan_W6!$B$4,0)+IF(ISNUMBER(AD62),Panduan_W6!$B$5,0)+IF(ISNUMBER(AE62),Panduan_W6!$B$6,0)+IF(ISNUMBER(AF62),Panduan_W6!$B$7,0)+IF(ISNUMBER(AG62),Panduan_W6!$B$8,0)</f>
        <v/>
      </c>
      <c r="AI62" s="4">
        <f>IF(LEFT(AJ62,7)&lt;&gt;"Lengkap","",IF(AJ62="Lengkap (gang)",AG62,(IF(ISNUMBER(AC62),Panduan_W6!$B$4*AC62,0)+IF(ISNUMBER(AD62),Panduan_W6!$B$5*AD62,0)+IF(ISNUMBER(AE62),Panduan_W6!$B$6*AE62,0)+IF(ISNUMBER(AF62),Panduan_W6!$B$7*AF62,0)+IF(ISNUMBER(AG62),Panduan_W6!$B$8*AG62,0))/AH62))</f>
        <v/>
      </c>
      <c r="AJ62" s="6">
        <f>IF(AND(Panduan_W6!$B$11="Ya",$I62="Gang",$J62="Sepi"),IF(ISNUMBER(AG62),"Lengkap (gang)","Belum lengkap"),IF(AND(ISNUMBER(AC62),ISNUMBER(AD62),ISNUMBER(AE62),ISNUMBER(AG62),OR(ISNUMBER(AF62),$K62="Tidak ada")),"Lengkap","Belum lengkap"))</f>
        <v/>
      </c>
    </row>
    <row r="63" ht="15" customHeight="1">
      <c r="A63" s="3" t="inlineStr">
        <is>
          <t>RUAS-062</t>
        </is>
      </c>
      <c r="B63" s="3" t="inlineStr">
        <is>
          <t>Day 2</t>
        </is>
      </c>
      <c r="C63" s="3" t="inlineStr">
        <is>
          <t>KWS-02</t>
        </is>
      </c>
      <c r="D63" s="3" t="inlineStr">
        <is>
          <t>Devon</t>
        </is>
      </c>
      <c r="E63" s="3" t="inlineStr">
        <is>
          <t>2026-08-17</t>
        </is>
      </c>
      <c r="F63" s="3" t="inlineStr">
        <is>
          <t>17:53</t>
        </is>
      </c>
      <c r="G63" s="3" t="n"/>
      <c r="H63" s="3" t="n">
        <v>190</v>
      </c>
      <c r="I63" s="3" t="inlineStr">
        <is>
          <t>Jalan kecil</t>
        </is>
      </c>
      <c r="J63" s="3" t="inlineStr">
        <is>
          <t>Sedang</t>
        </is>
      </c>
      <c r="K63" s="3" t="inlineStr">
        <is>
          <t>Tidak ada</t>
        </is>
      </c>
      <c r="L63" s="3" t="n">
        <v>0</v>
      </c>
      <c r="M63" s="3" t="n"/>
      <c r="N63" s="3" t="n"/>
      <c r="O63" s="3" t="n"/>
      <c r="P63" s="3" t="n"/>
      <c r="Q63" s="3" t="n"/>
      <c r="R63" s="3" t="n"/>
      <c r="S63" s="3" t="n"/>
      <c r="T63" s="3" t="n"/>
      <c r="U63" s="3" t="n"/>
      <c r="V63" s="3" t="n"/>
      <c r="W63" s="3" t="n"/>
      <c r="X63" s="3" t="n"/>
      <c r="Y63" s="3" t="n"/>
      <c r="Z63" s="3" t="n"/>
      <c r="AA63" s="3" t="n">
        <v>3</v>
      </c>
      <c r="AB63" s="3" t="n"/>
      <c r="AC63" s="4">
        <f>IF($K63="","",IF($K63="Ada",1,IF($K63="Sebagian",0.5,0)))</f>
        <v/>
      </c>
      <c r="AD63" s="4">
        <f>IF($K63="","",IF($K63="Tidak ada",0,IF($L63="","",MIN($L63/Panduan_W6!$B$9,1))))</f>
        <v/>
      </c>
      <c r="AE63" s="4">
        <f>IF($K63="","",IF($K63="Tidak ada",0,IF(OR($N63="",$H63=""),"",MAX(0,1-$N63/$H63))))</f>
        <v/>
      </c>
      <c r="AF63" s="4">
        <f>IF(OR($K63="",$K63="Tidak ada"),"",IF(OR($P63="",$H63=""),"",EXP(-$P63/$H63*100/Panduan_W6!$B$10)))</f>
        <v/>
      </c>
      <c r="AG63" s="4">
        <f>IF($Q63="","",IF($Q63="Tidak",1,0))</f>
        <v/>
      </c>
      <c r="AH63" s="5">
        <f>IF(ISNUMBER(AC63),Panduan_W6!$B$4,0)+IF(ISNUMBER(AD63),Panduan_W6!$B$5,0)+IF(ISNUMBER(AE63),Panduan_W6!$B$6,0)+IF(ISNUMBER(AF63),Panduan_W6!$B$7,0)+IF(ISNUMBER(AG63),Panduan_W6!$B$8,0)</f>
        <v/>
      </c>
      <c r="AI63" s="4">
        <f>IF(LEFT(AJ63,7)&lt;&gt;"Lengkap","",IF(AJ63="Lengkap (gang)",AG63,(IF(ISNUMBER(AC63),Panduan_W6!$B$4*AC63,0)+IF(ISNUMBER(AD63),Panduan_W6!$B$5*AD63,0)+IF(ISNUMBER(AE63),Panduan_W6!$B$6*AE63,0)+IF(ISNUMBER(AF63),Panduan_W6!$B$7*AF63,0)+IF(ISNUMBER(AG63),Panduan_W6!$B$8*AG63,0))/AH63))</f>
        <v/>
      </c>
      <c r="AJ63" s="6">
        <f>IF(AND(Panduan_W6!$B$11="Ya",$I63="Gang",$J63="Sepi"),IF(ISNUMBER(AG63),"Lengkap (gang)","Belum lengkap"),IF(AND(ISNUMBER(AC63),ISNUMBER(AD63),ISNUMBER(AE63),ISNUMBER(AG63),OR(ISNUMBER(AF63),$K63="Tidak ada")),"Lengkap","Belum lengkap"))</f>
        <v/>
      </c>
    </row>
    <row r="64" ht="15" customHeight="1">
      <c r="A64" s="3" t="inlineStr">
        <is>
          <t>RUAS-063</t>
        </is>
      </c>
      <c r="B64" s="3" t="inlineStr">
        <is>
          <t>Day 3</t>
        </is>
      </c>
      <c r="C64" s="3" t="inlineStr">
        <is>
          <t>KWS-09</t>
        </is>
      </c>
      <c r="D64" s="3" t="inlineStr">
        <is>
          <t>Theo</t>
        </is>
      </c>
      <c r="E64" s="3" t="inlineStr">
        <is>
          <t>2026-08-18</t>
        </is>
      </c>
      <c r="F64" s="3" t="inlineStr">
        <is>
          <t>11:10</t>
        </is>
      </c>
      <c r="G64" s="3" t="inlineStr">
        <is>
          <t>Jl. ringroad barat</t>
        </is>
      </c>
      <c r="H64" s="3" t="n">
        <v>199.3</v>
      </c>
      <c r="I64" s="3" t="inlineStr">
        <is>
          <t>Jalan raya</t>
        </is>
      </c>
      <c r="J64" s="3" t="inlineStr">
        <is>
          <t>Ramai</t>
        </is>
      </c>
      <c r="K64" s="3" t="inlineStr">
        <is>
          <t>Ada</t>
        </is>
      </c>
      <c r="L64" s="3" t="n"/>
      <c r="M64" s="3" t="n">
        <v>12.8</v>
      </c>
      <c r="N64" s="3" t="n"/>
      <c r="O64" s="3" t="inlineStr">
        <is>
          <t>pohon</t>
        </is>
      </c>
      <c r="P64" s="3" t="n">
        <v>5</v>
      </c>
      <c r="Q64" s="3" t="inlineStr">
        <is>
          <t>Ya</t>
        </is>
      </c>
      <c r="R64" s="3" t="n">
        <v>0</v>
      </c>
      <c r="S64" s="3" t="n">
        <v>0</v>
      </c>
      <c r="T64" s="3" t="n">
        <v>2</v>
      </c>
      <c r="U64" s="3" t="n">
        <v>0</v>
      </c>
      <c r="V64" s="3" t="n">
        <v>105.5</v>
      </c>
      <c r="W64" s="3" t="inlineStr">
        <is>
          <t>Di bawah 25 persen</t>
        </is>
      </c>
      <c r="X64" s="3" t="n">
        <v>163</v>
      </c>
      <c r="Y64" s="3" t="n">
        <v>3</v>
      </c>
      <c r="Z64" s="3" t="n"/>
      <c r="AA64" s="3" t="n">
        <v>3</v>
      </c>
      <c r="AB64" s="3" t="n">
        <v>1.22</v>
      </c>
      <c r="AC64" s="4">
        <f>IF($K64="","",IF($K64="Ada",1,IF($K64="Sebagian",0.5,0)))</f>
        <v/>
      </c>
      <c r="AD64" s="4">
        <f>IF($K64="","",IF($K64="Tidak ada",0,IF($L64="","",MIN($L64/Panduan_W6!$B$9,1))))</f>
        <v/>
      </c>
      <c r="AE64" s="4">
        <f>IF($K64="","",IF($K64="Tidak ada",0,IF(OR($N64="",$H64=""),"",MAX(0,1-$N64/$H64))))</f>
        <v/>
      </c>
      <c r="AF64" s="4">
        <f>IF(OR($K64="",$K64="Tidak ada"),"",IF(OR($P64="",$H64=""),"",EXP(-$P64/$H64*100/Panduan_W6!$B$10)))</f>
        <v/>
      </c>
      <c r="AG64" s="4">
        <f>IF($Q64="","",IF($Q64="Tidak",1,0))</f>
        <v/>
      </c>
      <c r="AH64" s="5">
        <f>IF(ISNUMBER(AC64),Panduan_W6!$B$4,0)+IF(ISNUMBER(AD64),Panduan_W6!$B$5,0)+IF(ISNUMBER(AE64),Panduan_W6!$B$6,0)+IF(ISNUMBER(AF64),Panduan_W6!$B$7,0)+IF(ISNUMBER(AG64),Panduan_W6!$B$8,0)</f>
        <v/>
      </c>
      <c r="AI64" s="4">
        <f>IF(LEFT(AJ64,7)&lt;&gt;"Lengkap","",IF(AJ64="Lengkap (gang)",AG64,(IF(ISNUMBER(AC64),Panduan_W6!$B$4*AC64,0)+IF(ISNUMBER(AD64),Panduan_W6!$B$5*AD64,0)+IF(ISNUMBER(AE64),Panduan_W6!$B$6*AE64,0)+IF(ISNUMBER(AF64),Panduan_W6!$B$7*AF64,0)+IF(ISNUMBER(AG64),Panduan_W6!$B$8*AG64,0))/AH64))</f>
        <v/>
      </c>
      <c r="AJ64" s="6">
        <f>IF(AND(Panduan_W6!$B$11="Ya",$I64="Gang",$J64="Sepi"),IF(ISNUMBER(AG64),"Lengkap (gang)","Belum lengkap"),IF(AND(ISNUMBER(AC64),ISNUMBER(AD64),ISNUMBER(AE64),ISNUMBER(AG64),OR(ISNUMBER(AF64),$K64="Tidak ada")),"Lengkap","Belum lengkap"))</f>
        <v/>
      </c>
    </row>
    <row r="65" ht="15" customHeight="1">
      <c r="A65" s="3" t="inlineStr">
        <is>
          <t>RUAS-064</t>
        </is>
      </c>
      <c r="B65" s="3" t="inlineStr">
        <is>
          <t>Day 3</t>
        </is>
      </c>
      <c r="C65" s="3" t="inlineStr">
        <is>
          <t>KWS-10</t>
        </is>
      </c>
      <c r="D65" s="3" t="inlineStr">
        <is>
          <t>Delon</t>
        </is>
      </c>
      <c r="E65" s="3" t="inlineStr">
        <is>
          <t>2026-08-18</t>
        </is>
      </c>
      <c r="F65" s="3" t="inlineStr">
        <is>
          <t>11:40</t>
        </is>
      </c>
      <c r="G65" s="3" t="inlineStr">
        <is>
          <t>Bandara Adisucipto</t>
        </is>
      </c>
      <c r="H65" s="3" t="n">
        <v>207</v>
      </c>
      <c r="I65" s="3" t="inlineStr">
        <is>
          <t>Jalan kecil</t>
        </is>
      </c>
      <c r="J65" s="3" t="inlineStr">
        <is>
          <t>Sepi</t>
        </is>
      </c>
      <c r="K65" s="3" t="inlineStr">
        <is>
          <t>Ada</t>
        </is>
      </c>
      <c r="L65" s="3" t="n">
        <v>6</v>
      </c>
      <c r="M65" s="3" t="n">
        <v>8</v>
      </c>
      <c r="N65" s="3" t="n">
        <v>60</v>
      </c>
      <c r="O65" s="3" t="inlineStr">
        <is>
          <t>tidak ada</t>
        </is>
      </c>
      <c r="P65" s="3" t="n">
        <v>2</v>
      </c>
      <c r="Q65" s="3" t="inlineStr">
        <is>
          <t>Ya</t>
        </is>
      </c>
      <c r="R65" s="3" t="n">
        <v>1</v>
      </c>
      <c r="S65" s="3" t="n">
        <v>0</v>
      </c>
      <c r="T65" s="3" t="n">
        <v>16</v>
      </c>
      <c r="U65" s="3" t="n">
        <v>0</v>
      </c>
      <c r="V65" s="3" t="n"/>
      <c r="W65" s="3" t="inlineStr">
        <is>
          <t>Di atas 50 persen</t>
        </is>
      </c>
      <c r="X65" s="3" t="n">
        <v>184</v>
      </c>
      <c r="Y65" s="3" t="n">
        <v>2</v>
      </c>
      <c r="Z65" s="3" t="inlineStr">
        <is>
          <t>trotoar terputus karena jalan melebar dan ada palang pintu bandara</t>
        </is>
      </c>
      <c r="AA65" s="3" t="n">
        <v>2</v>
      </c>
      <c r="AB65" s="3" t="n">
        <v>1.12</v>
      </c>
      <c r="AC65" s="4">
        <f>IF($K65="","",IF($K65="Ada",1,IF($K65="Sebagian",0.5,0)))</f>
        <v/>
      </c>
      <c r="AD65" s="4">
        <f>IF($K65="","",IF($K65="Tidak ada",0,IF($L65="","",MIN($L65/Panduan_W6!$B$9,1))))</f>
        <v/>
      </c>
      <c r="AE65" s="4">
        <f>IF($K65="","",IF($K65="Tidak ada",0,IF(OR($N65="",$H65=""),"",MAX(0,1-$N65/$H65))))</f>
        <v/>
      </c>
      <c r="AF65" s="4">
        <f>IF(OR($K65="",$K65="Tidak ada"),"",IF(OR($P65="",$H65=""),"",EXP(-$P65/$H65*100/Panduan_W6!$B$10)))</f>
        <v/>
      </c>
      <c r="AG65" s="4">
        <f>IF($Q65="","",IF($Q65="Tidak",1,0))</f>
        <v/>
      </c>
      <c r="AH65" s="5">
        <f>IF(ISNUMBER(AC65),Panduan_W6!$B$4,0)+IF(ISNUMBER(AD65),Panduan_W6!$B$5,0)+IF(ISNUMBER(AE65),Panduan_W6!$B$6,0)+IF(ISNUMBER(AF65),Panduan_W6!$B$7,0)+IF(ISNUMBER(AG65),Panduan_W6!$B$8,0)</f>
        <v/>
      </c>
      <c r="AI65" s="4">
        <f>IF(LEFT(AJ65,7)&lt;&gt;"Lengkap","",IF(AJ65="Lengkap (gang)",AG65,(IF(ISNUMBER(AC65),Panduan_W6!$B$4*AC65,0)+IF(ISNUMBER(AD65),Panduan_W6!$B$5*AD65,0)+IF(ISNUMBER(AE65),Panduan_W6!$B$6*AE65,0)+IF(ISNUMBER(AF65),Panduan_W6!$B$7*AF65,0)+IF(ISNUMBER(AG65),Panduan_W6!$B$8*AG65,0))/AH65))</f>
        <v/>
      </c>
      <c r="AJ65" s="6">
        <f>IF(AND(Panduan_W6!$B$11="Ya",$I65="Gang",$J65="Sepi"),IF(ISNUMBER(AG65),"Lengkap (gang)","Belum lengkap"),IF(AND(ISNUMBER(AC65),ISNUMBER(AD65),ISNUMBER(AE65),ISNUMBER(AG65),OR(ISNUMBER(AF65),$K65="Tidak ada")),"Lengkap","Belum lengkap"))</f>
        <v/>
      </c>
    </row>
    <row r="66" ht="15" customHeight="1">
      <c r="A66" s="3" t="inlineStr">
        <is>
          <t>RUAS-065</t>
        </is>
      </c>
      <c r="B66" s="3" t="inlineStr">
        <is>
          <t>Day 3</t>
        </is>
      </c>
      <c r="C66" s="3" t="inlineStr">
        <is>
          <t>KWS-10</t>
        </is>
      </c>
      <c r="D66" s="3" t="inlineStr">
        <is>
          <t>Delon</t>
        </is>
      </c>
      <c r="E66" s="3" t="inlineStr">
        <is>
          <t>2026-08-18</t>
        </is>
      </c>
      <c r="F66" s="3" t="inlineStr">
        <is>
          <t>12:02</t>
        </is>
      </c>
      <c r="G66" s="3" t="inlineStr">
        <is>
          <t>Jl. Bandara Adisicipto</t>
        </is>
      </c>
      <c r="H66" s="3" t="n">
        <v>90</v>
      </c>
      <c r="I66" s="3" t="inlineStr">
        <is>
          <t>Jalan raya</t>
        </is>
      </c>
      <c r="J66" s="3" t="inlineStr">
        <is>
          <t>Sedang</t>
        </is>
      </c>
      <c r="K66" s="3" t="inlineStr">
        <is>
          <t>Ada</t>
        </is>
      </c>
      <c r="L66" s="3" t="n">
        <v>2</v>
      </c>
      <c r="M66" s="3" t="n">
        <v>15</v>
      </c>
      <c r="N66" s="3" t="n">
        <v>42</v>
      </c>
      <c r="O66" s="3" t="inlineStr">
        <is>
          <t>tiang listrik, padagang kaki lima</t>
        </is>
      </c>
      <c r="P66" s="3" t="n">
        <v>1</v>
      </c>
      <c r="Q66" s="3" t="inlineStr">
        <is>
          <t>Ya</t>
        </is>
      </c>
      <c r="R66" s="3" t="n">
        <v>1</v>
      </c>
      <c r="S66" s="3" t="n">
        <v>0</v>
      </c>
      <c r="T66" s="3" t="n">
        <v>4</v>
      </c>
      <c r="U66" s="3" t="n">
        <v>3</v>
      </c>
      <c r="V66" s="3" t="n">
        <v>22.5</v>
      </c>
      <c r="W66" s="3" t="inlineStr">
        <is>
          <t>Nihil</t>
        </is>
      </c>
      <c r="X66" s="3" t="n">
        <v>93</v>
      </c>
      <c r="Y66" s="3" t="n">
        <v>2</v>
      </c>
      <c r="Z66" s="3" t="inlineStr">
        <is>
          <t>trotoar rusak, banyak ditumbuhi tanaman</t>
        </is>
      </c>
      <c r="AA66" s="3" t="n">
        <v>4</v>
      </c>
      <c r="AB66" s="3" t="n">
        <v>0.97</v>
      </c>
      <c r="AC66" s="4">
        <f>IF($K66="","",IF($K66="Ada",1,IF($K66="Sebagian",0.5,0)))</f>
        <v/>
      </c>
      <c r="AD66" s="4">
        <f>IF($K66="","",IF($K66="Tidak ada",0,IF($L66="","",MIN($L66/Panduan_W6!$B$9,1))))</f>
        <v/>
      </c>
      <c r="AE66" s="4">
        <f>IF($K66="","",IF($K66="Tidak ada",0,IF(OR($N66="",$H66=""),"",MAX(0,1-$N66/$H66))))</f>
        <v/>
      </c>
      <c r="AF66" s="4">
        <f>IF(OR($K66="",$K66="Tidak ada"),"",IF(OR($P66="",$H66=""),"",EXP(-$P66/$H66*100/Panduan_W6!$B$10)))</f>
        <v/>
      </c>
      <c r="AG66" s="4">
        <f>IF($Q66="","",IF($Q66="Tidak",1,0))</f>
        <v/>
      </c>
      <c r="AH66" s="5">
        <f>IF(ISNUMBER(AC66),Panduan_W6!$B$4,0)+IF(ISNUMBER(AD66),Panduan_W6!$B$5,0)+IF(ISNUMBER(AE66),Panduan_W6!$B$6,0)+IF(ISNUMBER(AF66),Panduan_W6!$B$7,0)+IF(ISNUMBER(AG66),Panduan_W6!$B$8,0)</f>
        <v/>
      </c>
      <c r="AI66" s="4">
        <f>IF(LEFT(AJ66,7)&lt;&gt;"Lengkap","",IF(AJ66="Lengkap (gang)",AG66,(IF(ISNUMBER(AC66),Panduan_W6!$B$4*AC66,0)+IF(ISNUMBER(AD66),Panduan_W6!$B$5*AD66,0)+IF(ISNUMBER(AE66),Panduan_W6!$B$6*AE66,0)+IF(ISNUMBER(AF66),Panduan_W6!$B$7*AF66,0)+IF(ISNUMBER(AG66),Panduan_W6!$B$8*AG66,0))/AH66))</f>
        <v/>
      </c>
      <c r="AJ66" s="6">
        <f>IF(AND(Panduan_W6!$B$11="Ya",$I66="Gang",$J66="Sepi"),IF(ISNUMBER(AG66),"Lengkap (gang)","Belum lengkap"),IF(AND(ISNUMBER(AC66),ISNUMBER(AD66),ISNUMBER(AE66),ISNUMBER(AG66),OR(ISNUMBER(AF66),$K66="Tidak ada")),"Lengkap","Belum lengkap"))</f>
        <v/>
      </c>
    </row>
    <row r="67" ht="15" customHeight="1">
      <c r="A67" s="3" t="inlineStr">
        <is>
          <t>RUAS-066</t>
        </is>
      </c>
      <c r="B67" s="3" t="inlineStr">
        <is>
          <t>Day 3</t>
        </is>
      </c>
      <c r="C67" s="3" t="inlineStr">
        <is>
          <t>KWS-09</t>
        </is>
      </c>
      <c r="D67" s="3" t="inlineStr">
        <is>
          <t>Theo</t>
        </is>
      </c>
      <c r="E67" s="3" t="inlineStr">
        <is>
          <t>2026-08-18</t>
        </is>
      </c>
      <c r="F67" s="3" t="inlineStr">
        <is>
          <t>12:09</t>
        </is>
      </c>
      <c r="G67" s="3" t="inlineStr">
        <is>
          <t>jl. mojo</t>
        </is>
      </c>
      <c r="H67" s="3" t="n">
        <v>212.7</v>
      </c>
      <c r="I67" s="3" t="inlineStr">
        <is>
          <t>Jalan kecil</t>
        </is>
      </c>
      <c r="J67" s="3" t="inlineStr">
        <is>
          <t>Sepi</t>
        </is>
      </c>
      <c r="K67" s="3" t="inlineStr">
        <is>
          <t>Tidak ada</t>
        </is>
      </c>
      <c r="L67" s="3" t="n"/>
      <c r="M67" s="3" t="n">
        <v>4.3</v>
      </c>
      <c r="N67" s="3" t="n"/>
      <c r="O67" s="3" t="inlineStr">
        <is>
          <t>tidak ada</t>
        </is>
      </c>
      <c r="P67" s="3" t="n"/>
      <c r="Q67" s="3" t="inlineStr">
        <is>
          <t>Ya</t>
        </is>
      </c>
      <c r="R67" s="3" t="n"/>
      <c r="S67" s="3" t="n"/>
      <c r="T67" s="3" t="n">
        <v>5</v>
      </c>
      <c r="U67" s="3" t="n">
        <v>0</v>
      </c>
      <c r="V67" s="3" t="n">
        <v>45.1</v>
      </c>
      <c r="W67" s="3" t="inlineStr">
        <is>
          <t>Di bawah 25 persen</t>
        </is>
      </c>
      <c r="X67" s="3" t="n">
        <v>199</v>
      </c>
      <c r="Y67" s="3" t="n">
        <v>2</v>
      </c>
      <c r="Z67" s="3" t="n"/>
      <c r="AA67" s="3" t="n">
        <v>2</v>
      </c>
      <c r="AB67" s="3" t="n">
        <v>1.07</v>
      </c>
      <c r="AC67" s="4">
        <f>IF($K67="","",IF($K67="Ada",1,IF($K67="Sebagian",0.5,0)))</f>
        <v/>
      </c>
      <c r="AD67" s="4">
        <f>IF($K67="","",IF($K67="Tidak ada",0,IF($L67="","",MIN($L67/Panduan_W6!$B$9,1))))</f>
        <v/>
      </c>
      <c r="AE67" s="4">
        <f>IF($K67="","",IF($K67="Tidak ada",0,IF(OR($N67="",$H67=""),"",MAX(0,1-$N67/$H67))))</f>
        <v/>
      </c>
      <c r="AF67" s="4">
        <f>IF(OR($K67="",$K67="Tidak ada"),"",IF(OR($P67="",$H67=""),"",EXP(-$P67/$H67*100/Panduan_W6!$B$10)))</f>
        <v/>
      </c>
      <c r="AG67" s="4">
        <f>IF($Q67="","",IF($Q67="Tidak",1,0))</f>
        <v/>
      </c>
      <c r="AH67" s="5">
        <f>IF(ISNUMBER(AC67),Panduan_W6!$B$4,0)+IF(ISNUMBER(AD67),Panduan_W6!$B$5,0)+IF(ISNUMBER(AE67),Panduan_W6!$B$6,0)+IF(ISNUMBER(AF67),Panduan_W6!$B$7,0)+IF(ISNUMBER(AG67),Panduan_W6!$B$8,0)</f>
        <v/>
      </c>
      <c r="AI67" s="4">
        <f>IF(LEFT(AJ67,7)&lt;&gt;"Lengkap","",IF(AJ67="Lengkap (gang)",AG67,(IF(ISNUMBER(AC67),Panduan_W6!$B$4*AC67,0)+IF(ISNUMBER(AD67),Panduan_W6!$B$5*AD67,0)+IF(ISNUMBER(AE67),Panduan_W6!$B$6*AE67,0)+IF(ISNUMBER(AF67),Panduan_W6!$B$7*AF67,0)+IF(ISNUMBER(AG67),Panduan_W6!$B$8*AG67,0))/AH67))</f>
        <v/>
      </c>
      <c r="AJ67" s="6">
        <f>IF(AND(Panduan_W6!$B$11="Ya",$I67="Gang",$J67="Sepi"),IF(ISNUMBER(AG67),"Lengkap (gang)","Belum lengkap"),IF(AND(ISNUMBER(AC67),ISNUMBER(AD67),ISNUMBER(AE67),ISNUMBER(AG67),OR(ISNUMBER(AF67),$K67="Tidak ada")),"Lengkap","Belum lengkap"))</f>
        <v/>
      </c>
    </row>
    <row r="68" ht="15" customHeight="1">
      <c r="A68" s="3" t="inlineStr">
        <is>
          <t>RUAS-067</t>
        </is>
      </c>
      <c r="B68" s="3" t="inlineStr">
        <is>
          <t>Day 3</t>
        </is>
      </c>
      <c r="C68" s="3" t="inlineStr">
        <is>
          <t>KWS-10</t>
        </is>
      </c>
      <c r="D68" s="3" t="inlineStr">
        <is>
          <t>Delon</t>
        </is>
      </c>
      <c r="E68" s="3" t="inlineStr">
        <is>
          <t>2026-08-18</t>
        </is>
      </c>
      <c r="F68" s="3" t="inlineStr">
        <is>
          <t>21:27</t>
        </is>
      </c>
      <c r="G68" s="3" t="inlineStr">
        <is>
          <t>Jl. jogja-Solo</t>
        </is>
      </c>
      <c r="H68" s="3" t="n">
        <v>100</v>
      </c>
      <c r="I68" s="3" t="inlineStr">
        <is>
          <t>Jalan raya</t>
        </is>
      </c>
      <c r="J68" s="3" t="inlineStr">
        <is>
          <t>Ramai</t>
        </is>
      </c>
      <c r="K68" s="3" t="inlineStr">
        <is>
          <t>Ada</t>
        </is>
      </c>
      <c r="L68" s="3" t="n">
        <v>1.5</v>
      </c>
      <c r="M68" s="3" t="n">
        <v>30</v>
      </c>
      <c r="N68" s="3" t="n">
        <v>0.5</v>
      </c>
      <c r="O68" s="3" t="inlineStr">
        <is>
          <t>pot atau taman</t>
        </is>
      </c>
      <c r="P68" s="3" t="n"/>
      <c r="Q68" s="3" t="inlineStr">
        <is>
          <t>Ya</t>
        </is>
      </c>
      <c r="R68" s="3" t="n">
        <v>1</v>
      </c>
      <c r="S68" s="3" t="n">
        <v>0</v>
      </c>
      <c r="T68" s="3" t="n">
        <v>2</v>
      </c>
      <c r="U68" s="3" t="n">
        <v>0</v>
      </c>
      <c r="V68" s="3" t="n">
        <v>50</v>
      </c>
      <c r="W68" s="3" t="inlineStr">
        <is>
          <t>Nihil</t>
        </is>
      </c>
      <c r="X68" s="3" t="n">
        <v>90</v>
      </c>
      <c r="Y68" s="3" t="n"/>
      <c r="Z68" s="3" t="inlineStr">
        <is>
          <t>kendaraan melaju sangat kencang, tidak ada pohon sama sekali, jalan cukup terang</t>
        </is>
      </c>
      <c r="AA68" s="3" t="n">
        <v>6</v>
      </c>
      <c r="AB68" s="3" t="n">
        <v>1.11</v>
      </c>
      <c r="AC68" s="4">
        <f>IF($K68="","",IF($K68="Ada",1,IF($K68="Sebagian",0.5,0)))</f>
        <v/>
      </c>
      <c r="AD68" s="4">
        <f>IF($K68="","",IF($K68="Tidak ada",0,IF($L68="","",MIN($L68/Panduan_W6!$B$9,1))))</f>
        <v/>
      </c>
      <c r="AE68" s="4">
        <f>IF($K68="","",IF($K68="Tidak ada",0,IF(OR($N68="",$H68=""),"",MAX(0,1-$N68/$H68))))</f>
        <v/>
      </c>
      <c r="AF68" s="4">
        <f>IF(OR($K68="",$K68="Tidak ada"),"",IF(OR($P68="",$H68=""),"",EXP(-$P68/$H68*100/Panduan_W6!$B$10)))</f>
        <v/>
      </c>
      <c r="AG68" s="4">
        <f>IF($Q68="","",IF($Q68="Tidak",1,0))</f>
        <v/>
      </c>
      <c r="AH68" s="5">
        <f>IF(ISNUMBER(AC68),Panduan_W6!$B$4,0)+IF(ISNUMBER(AD68),Panduan_W6!$B$5,0)+IF(ISNUMBER(AE68),Panduan_W6!$B$6,0)+IF(ISNUMBER(AF68),Panduan_W6!$B$7,0)+IF(ISNUMBER(AG68),Panduan_W6!$B$8,0)</f>
        <v/>
      </c>
      <c r="AI68" s="4">
        <f>IF(LEFT(AJ68,7)&lt;&gt;"Lengkap","",IF(AJ68="Lengkap (gang)",AG68,(IF(ISNUMBER(AC68),Panduan_W6!$B$4*AC68,0)+IF(ISNUMBER(AD68),Panduan_W6!$B$5*AD68,0)+IF(ISNUMBER(AE68),Panduan_W6!$B$6*AE68,0)+IF(ISNUMBER(AF68),Panduan_W6!$B$7*AF68,0)+IF(ISNUMBER(AG68),Panduan_W6!$B$8*AG68,0))/AH68))</f>
        <v/>
      </c>
      <c r="AJ68" s="6">
        <f>IF(AND(Panduan_W6!$B$11="Ya",$I68="Gang",$J68="Sepi"),IF(ISNUMBER(AG68),"Lengkap (gang)","Belum lengkap"),IF(AND(ISNUMBER(AC68),ISNUMBER(AD68),ISNUMBER(AE68),ISNUMBER(AG68),OR(ISNUMBER(AF68),$K68="Tidak ada")),"Lengkap","Belum lengkap"))</f>
        <v/>
      </c>
    </row>
    <row r="69" ht="15" customHeight="1">
      <c r="A69" s="3" t="inlineStr">
        <is>
          <t>RUAS-068</t>
        </is>
      </c>
      <c r="B69" s="3" t="inlineStr">
        <is>
          <t>Day 3</t>
        </is>
      </c>
      <c r="C69" s="3" t="inlineStr">
        <is>
          <t>KWS-09</t>
        </is>
      </c>
      <c r="D69" s="3" t="inlineStr">
        <is>
          <t>Theo</t>
        </is>
      </c>
      <c r="E69" s="3" t="inlineStr">
        <is>
          <t>2026-08-18</t>
        </is>
      </c>
      <c r="F69" s="3" t="inlineStr">
        <is>
          <t>13:24</t>
        </is>
      </c>
      <c r="G69" s="3" t="inlineStr">
        <is>
          <t>Jl. Armanto</t>
        </is>
      </c>
      <c r="H69" s="3" t="n">
        <v>181</v>
      </c>
      <c r="I69" s="3" t="inlineStr">
        <is>
          <t>Jalan kecil</t>
        </is>
      </c>
      <c r="J69" s="3" t="inlineStr">
        <is>
          <t>Sepi</t>
        </is>
      </c>
      <c r="K69" s="3" t="inlineStr">
        <is>
          <t>Tidak ada</t>
        </is>
      </c>
      <c r="L69" s="3" t="n"/>
      <c r="M69" s="3" t="n">
        <v>3.5</v>
      </c>
      <c r="N69" s="3" t="n"/>
      <c r="O69" s="3" t="inlineStr">
        <is>
          <t>tidak ada</t>
        </is>
      </c>
      <c r="P69" s="3" t="n">
        <v>0</v>
      </c>
      <c r="Q69" s="3" t="inlineStr">
        <is>
          <t>Ya</t>
        </is>
      </c>
      <c r="R69" s="3" t="n"/>
      <c r="S69" s="3" t="n"/>
      <c r="T69" s="3" t="n">
        <v>3</v>
      </c>
      <c r="U69" s="3" t="n"/>
      <c r="V69" s="3" t="n">
        <v>25.9</v>
      </c>
      <c r="W69" s="3" t="inlineStr">
        <is>
          <t>25 sampai 50 persen</t>
        </is>
      </c>
      <c r="X69" s="3" t="n">
        <v>183</v>
      </c>
      <c r="Y69" s="3" t="n">
        <v>2</v>
      </c>
      <c r="Z69" s="3" t="n"/>
      <c r="AA69" s="3" t="n">
        <v>1</v>
      </c>
      <c r="AB69" s="3" t="n">
        <v>0.99</v>
      </c>
      <c r="AC69" s="4">
        <f>IF($K69="","",IF($K69="Ada",1,IF($K69="Sebagian",0.5,0)))</f>
        <v/>
      </c>
      <c r="AD69" s="4">
        <f>IF($K69="","",IF($K69="Tidak ada",0,IF($L69="","",MIN($L69/Panduan_W6!$B$9,1))))</f>
        <v/>
      </c>
      <c r="AE69" s="4">
        <f>IF($K69="","",IF($K69="Tidak ada",0,IF(OR($N69="",$H69=""),"",MAX(0,1-$N69/$H69))))</f>
        <v/>
      </c>
      <c r="AF69" s="4">
        <f>IF(OR($K69="",$K69="Tidak ada"),"",IF(OR($P69="",$H69=""),"",EXP(-$P69/$H69*100/Panduan_W6!$B$10)))</f>
        <v/>
      </c>
      <c r="AG69" s="4">
        <f>IF($Q69="","",IF($Q69="Tidak",1,0))</f>
        <v/>
      </c>
      <c r="AH69" s="5">
        <f>IF(ISNUMBER(AC69),Panduan_W6!$B$4,0)+IF(ISNUMBER(AD69),Panduan_W6!$B$5,0)+IF(ISNUMBER(AE69),Panduan_W6!$B$6,0)+IF(ISNUMBER(AF69),Panduan_W6!$B$7,0)+IF(ISNUMBER(AG69),Panduan_W6!$B$8,0)</f>
        <v/>
      </c>
      <c r="AI69" s="4">
        <f>IF(LEFT(AJ69,7)&lt;&gt;"Lengkap","",IF(AJ69="Lengkap (gang)",AG69,(IF(ISNUMBER(AC69),Panduan_W6!$B$4*AC69,0)+IF(ISNUMBER(AD69),Panduan_W6!$B$5*AD69,0)+IF(ISNUMBER(AE69),Panduan_W6!$B$6*AE69,0)+IF(ISNUMBER(AF69),Panduan_W6!$B$7*AF69,0)+IF(ISNUMBER(AG69),Panduan_W6!$B$8*AG69,0))/AH69))</f>
        <v/>
      </c>
      <c r="AJ69" s="6">
        <f>IF(AND(Panduan_W6!$B$11="Ya",$I69="Gang",$J69="Sepi"),IF(ISNUMBER(AG69),"Lengkap (gang)","Belum lengkap"),IF(AND(ISNUMBER(AC69),ISNUMBER(AD69),ISNUMBER(AE69),ISNUMBER(AG69),OR(ISNUMBER(AF69),$K69="Tidak ada")),"Lengkap","Belum lengkap"))</f>
        <v/>
      </c>
    </row>
    <row r="70" ht="15" customHeight="1">
      <c r="A70" s="3" t="inlineStr">
        <is>
          <t>RUAS-069</t>
        </is>
      </c>
      <c r="B70" s="3" t="inlineStr">
        <is>
          <t>Day 3</t>
        </is>
      </c>
      <c r="C70" s="3" t="inlineStr">
        <is>
          <t>KWS-09</t>
        </is>
      </c>
      <c r="D70" s="3" t="inlineStr">
        <is>
          <t>Theo</t>
        </is>
      </c>
      <c r="E70" s="3" t="inlineStr">
        <is>
          <t>2026-08-18</t>
        </is>
      </c>
      <c r="F70" s="3" t="inlineStr">
        <is>
          <t>13:33</t>
        </is>
      </c>
      <c r="G70" s="3" t="inlineStr">
        <is>
          <t>JL. Ringroad barat</t>
        </is>
      </c>
      <c r="H70" s="3" t="n">
        <v>865.9</v>
      </c>
      <c r="I70" s="3" t="inlineStr">
        <is>
          <t>Jalan raya</t>
        </is>
      </c>
      <c r="J70" s="3" t="inlineStr">
        <is>
          <t>Ramai</t>
        </is>
      </c>
      <c r="K70" s="3" t="inlineStr">
        <is>
          <t>Tidak ada</t>
        </is>
      </c>
      <c r="L70" s="3" t="n"/>
      <c r="M70" s="3" t="n">
        <v>12.8</v>
      </c>
      <c r="N70" s="3" t="n"/>
      <c r="O70" s="3" t="inlineStr">
        <is>
          <t>pohon</t>
        </is>
      </c>
      <c r="P70" s="3" t="n"/>
      <c r="Q70" s="3" t="inlineStr">
        <is>
          <t>Ya</t>
        </is>
      </c>
      <c r="R70" s="3" t="n">
        <v>0</v>
      </c>
      <c r="S70" s="3" t="n">
        <v>0</v>
      </c>
      <c r="T70" s="3" t="n">
        <v>9</v>
      </c>
      <c r="U70" s="3" t="n">
        <v>0</v>
      </c>
      <c r="V70" s="3" t="n">
        <v>69.34999999999999</v>
      </c>
      <c r="W70" s="3" t="inlineStr">
        <is>
          <t>Di bawah 25 persen</t>
        </is>
      </c>
      <c r="X70" s="3" t="n">
        <v>1200</v>
      </c>
      <c r="Y70" s="3" t="n">
        <v>4</v>
      </c>
      <c r="Z70" s="3" t="inlineStr">
        <is>
          <t>DIVERIFIKASI 2026-09-08: panjang 865,9 m dan waktu 1.200 detik benar, bukan salah ketik. Kecepatan implisit 0,72 m/s konsisten dengan berjalan kaki. Ruas arteri Ringroad Barat memang disurvei dalam satu penggal panjang. Perlu diingat saat menghitung rata-rata tertimbang panjang di KWS-09.</t>
        </is>
      </c>
      <c r="AA70" s="3" t="n">
        <v>3</v>
      </c>
      <c r="AB70" s="3" t="n">
        <v>0.72</v>
      </c>
      <c r="AC70" s="4">
        <f>IF($K70="","",IF($K70="Ada",1,IF($K70="Sebagian",0.5,0)))</f>
        <v/>
      </c>
      <c r="AD70" s="4">
        <f>IF($K70="","",IF($K70="Tidak ada",0,IF($L70="","",MIN($L70/Panduan_W6!$B$9,1))))</f>
        <v/>
      </c>
      <c r="AE70" s="4">
        <f>IF($K70="","",IF($K70="Tidak ada",0,IF(OR($N70="",$H70=""),"",MAX(0,1-$N70/$H70))))</f>
        <v/>
      </c>
      <c r="AF70" s="4">
        <f>IF(OR($K70="",$K70="Tidak ada"),"",IF(OR($P70="",$H70=""),"",EXP(-$P70/$H70*100/Panduan_W6!$B$10)))</f>
        <v/>
      </c>
      <c r="AG70" s="4">
        <f>IF($Q70="","",IF($Q70="Tidak",1,0))</f>
        <v/>
      </c>
      <c r="AH70" s="5">
        <f>IF(ISNUMBER(AC70),Panduan_W6!$B$4,0)+IF(ISNUMBER(AD70),Panduan_W6!$B$5,0)+IF(ISNUMBER(AE70),Panduan_W6!$B$6,0)+IF(ISNUMBER(AF70),Panduan_W6!$B$7,0)+IF(ISNUMBER(AG70),Panduan_W6!$B$8,0)</f>
        <v/>
      </c>
      <c r="AI70" s="4">
        <f>IF(LEFT(AJ70,7)&lt;&gt;"Lengkap","",IF(AJ70="Lengkap (gang)",AG70,(IF(ISNUMBER(AC70),Panduan_W6!$B$4*AC70,0)+IF(ISNUMBER(AD70),Panduan_W6!$B$5*AD70,0)+IF(ISNUMBER(AE70),Panduan_W6!$B$6*AE70,0)+IF(ISNUMBER(AF70),Panduan_W6!$B$7*AF70,0)+IF(ISNUMBER(AG70),Panduan_W6!$B$8*AG70,0))/AH70))</f>
        <v/>
      </c>
      <c r="AJ70" s="6">
        <f>IF(AND(Panduan_W6!$B$11="Ya",$I70="Gang",$J70="Sepi"),IF(ISNUMBER(AG70),"Lengkap (gang)","Belum lengkap"),IF(AND(ISNUMBER(AC70),ISNUMBER(AD70),ISNUMBER(AE70),ISNUMBER(AG70),OR(ISNUMBER(AF70),$K70="Tidak ada")),"Lengkap","Belum lengkap"))</f>
        <v/>
      </c>
    </row>
    <row r="71" ht="15" customHeight="1">
      <c r="A71" s="3" t="inlineStr">
        <is>
          <t>RUAS-070</t>
        </is>
      </c>
      <c r="B71" s="3" t="inlineStr">
        <is>
          <t>Day 3</t>
        </is>
      </c>
      <c r="C71" s="3" t="inlineStr">
        <is>
          <t>KWS-09</t>
        </is>
      </c>
      <c r="D71" s="3" t="inlineStr">
        <is>
          <t>Theo</t>
        </is>
      </c>
      <c r="E71" s="3" t="inlineStr">
        <is>
          <t>2026-08-18</t>
        </is>
      </c>
      <c r="F71" s="3" t="inlineStr">
        <is>
          <t>16:01</t>
        </is>
      </c>
      <c r="G71" s="3" t="inlineStr">
        <is>
          <t>Jl.Kutilang</t>
        </is>
      </c>
      <c r="H71" s="3" t="n">
        <v>76.7</v>
      </c>
      <c r="I71" s="3" t="inlineStr">
        <is>
          <t>Jalan kecil</t>
        </is>
      </c>
      <c r="J71" s="3" t="inlineStr">
        <is>
          <t>Sedang</t>
        </is>
      </c>
      <c r="K71" s="3" t="inlineStr">
        <is>
          <t>Tidak ada</t>
        </is>
      </c>
      <c r="L71" s="3" t="n"/>
      <c r="M71" s="3" t="n">
        <v>3.7</v>
      </c>
      <c r="N71" s="3" t="n"/>
      <c r="O71" s="3" t="inlineStr">
        <is>
          <t>tidak ada</t>
        </is>
      </c>
      <c r="P71" s="3" t="n">
        <v>0</v>
      </c>
      <c r="Q71" s="3" t="inlineStr">
        <is>
          <t>Ya</t>
        </is>
      </c>
      <c r="R71" s="3" t="n"/>
      <c r="S71" s="3" t="n"/>
      <c r="T71" s="3" t="n">
        <v>3</v>
      </c>
      <c r="U71" s="3" t="n"/>
      <c r="V71" s="3" t="n">
        <v>18.6</v>
      </c>
      <c r="W71" s="3" t="inlineStr">
        <is>
          <t>Di atas 50 persen</t>
        </is>
      </c>
      <c r="X71" s="3" t="n">
        <v>68</v>
      </c>
      <c r="Y71" s="3" t="n">
        <v>2</v>
      </c>
      <c r="Z71" s="3" t="n"/>
      <c r="AA71" s="3" t="n">
        <v>2</v>
      </c>
      <c r="AB71" s="3" t="n">
        <v>1.13</v>
      </c>
      <c r="AC71" s="4">
        <f>IF($K71="","",IF($K71="Ada",1,IF($K71="Sebagian",0.5,0)))</f>
        <v/>
      </c>
      <c r="AD71" s="4">
        <f>IF($K71="","",IF($K71="Tidak ada",0,IF($L71="","",MIN($L71/Panduan_W6!$B$9,1))))</f>
        <v/>
      </c>
      <c r="AE71" s="4">
        <f>IF($K71="","",IF($K71="Tidak ada",0,IF(OR($N71="",$H71=""),"",MAX(0,1-$N71/$H71))))</f>
        <v/>
      </c>
      <c r="AF71" s="4">
        <f>IF(OR($K71="",$K71="Tidak ada"),"",IF(OR($P71="",$H71=""),"",EXP(-$P71/$H71*100/Panduan_W6!$B$10)))</f>
        <v/>
      </c>
      <c r="AG71" s="4">
        <f>IF($Q71="","",IF($Q71="Tidak",1,0))</f>
        <v/>
      </c>
      <c r="AH71" s="5">
        <f>IF(ISNUMBER(AC71),Panduan_W6!$B$4,0)+IF(ISNUMBER(AD71),Panduan_W6!$B$5,0)+IF(ISNUMBER(AE71),Panduan_W6!$B$6,0)+IF(ISNUMBER(AF71),Panduan_W6!$B$7,0)+IF(ISNUMBER(AG71),Panduan_W6!$B$8,0)</f>
        <v/>
      </c>
      <c r="AI71" s="4">
        <f>IF(LEFT(AJ71,7)&lt;&gt;"Lengkap","",IF(AJ71="Lengkap (gang)",AG71,(IF(ISNUMBER(AC71),Panduan_W6!$B$4*AC71,0)+IF(ISNUMBER(AD71),Panduan_W6!$B$5*AD71,0)+IF(ISNUMBER(AE71),Panduan_W6!$B$6*AE71,0)+IF(ISNUMBER(AF71),Panduan_W6!$B$7*AF71,0)+IF(ISNUMBER(AG71),Panduan_W6!$B$8*AG71,0))/AH71))</f>
        <v/>
      </c>
      <c r="AJ71" s="6">
        <f>IF(AND(Panduan_W6!$B$11="Ya",$I71="Gang",$J71="Sepi"),IF(ISNUMBER(AG71),"Lengkap (gang)","Belum lengkap"),IF(AND(ISNUMBER(AC71),ISNUMBER(AD71),ISNUMBER(AE71),ISNUMBER(AG71),OR(ISNUMBER(AF71),$K71="Tidak ada")),"Lengkap","Belum lengkap"))</f>
        <v/>
      </c>
    </row>
    <row r="72" ht="15" customHeight="1">
      <c r="A72" s="3" t="inlineStr">
        <is>
          <t>RUAS-071</t>
        </is>
      </c>
      <c r="B72" s="3" t="inlineStr">
        <is>
          <t>Day 3</t>
        </is>
      </c>
      <c r="C72" s="3" t="inlineStr">
        <is>
          <t>KWS-09</t>
        </is>
      </c>
      <c r="D72" s="3" t="inlineStr">
        <is>
          <t>Theo</t>
        </is>
      </c>
      <c r="E72" s="3" t="inlineStr">
        <is>
          <t>2026-08-18</t>
        </is>
      </c>
      <c r="F72" s="3" t="inlineStr">
        <is>
          <t>16:12</t>
        </is>
      </c>
      <c r="G72" s="3" t="inlineStr">
        <is>
          <t xml:space="preserve">Jl.Berkisar </t>
        </is>
      </c>
      <c r="H72" s="3" t="n">
        <v>73.5</v>
      </c>
      <c r="I72" s="3" t="inlineStr">
        <is>
          <t>Jalan kecil</t>
        </is>
      </c>
      <c r="J72" s="3" t="inlineStr">
        <is>
          <t>Sepi</t>
        </is>
      </c>
      <c r="K72" s="3" t="n"/>
      <c r="L72" s="3" t="n"/>
      <c r="M72" s="3" t="n">
        <v>3.8</v>
      </c>
      <c r="N72" s="3" t="n"/>
      <c r="O72" s="3" t="inlineStr">
        <is>
          <t>tidak ada</t>
        </is>
      </c>
      <c r="P72" s="3" t="n">
        <v>0</v>
      </c>
      <c r="Q72" s="3" t="inlineStr">
        <is>
          <t>Ya</t>
        </is>
      </c>
      <c r="R72" s="3" t="n"/>
      <c r="S72" s="3" t="n"/>
      <c r="T72" s="3" t="n">
        <v>7</v>
      </c>
      <c r="U72" s="3" t="n">
        <v>0</v>
      </c>
      <c r="V72" s="3" t="n">
        <v>7.5</v>
      </c>
      <c r="W72" s="3" t="inlineStr">
        <is>
          <t>Di atas 50 persen</t>
        </is>
      </c>
      <c r="X72" s="3" t="n">
        <v>67</v>
      </c>
      <c r="Y72" s="3" t="n">
        <v>1</v>
      </c>
      <c r="Z72" s="3" t="n"/>
      <c r="AA72" s="3" t="n">
        <v>2</v>
      </c>
      <c r="AB72" s="3" t="n">
        <v>1.1</v>
      </c>
      <c r="AC72" s="4">
        <f>IF($K72="","",IF($K72="Ada",1,IF($K72="Sebagian",0.5,0)))</f>
        <v/>
      </c>
      <c r="AD72" s="4">
        <f>IF($K72="","",IF($K72="Tidak ada",0,IF($L72="","",MIN($L72/Panduan_W6!$B$9,1))))</f>
        <v/>
      </c>
      <c r="AE72" s="4">
        <f>IF($K72="","",IF($K72="Tidak ada",0,IF(OR($N72="",$H72=""),"",MAX(0,1-$N72/$H72))))</f>
        <v/>
      </c>
      <c r="AF72" s="4">
        <f>IF(OR($K72="",$K72="Tidak ada"),"",IF(OR($P72="",$H72=""),"",EXP(-$P72/$H72*100/Panduan_W6!$B$10)))</f>
        <v/>
      </c>
      <c r="AG72" s="4">
        <f>IF($Q72="","",IF($Q72="Tidak",1,0))</f>
        <v/>
      </c>
      <c r="AH72" s="5">
        <f>IF(ISNUMBER(AC72),Panduan_W6!$B$4,0)+IF(ISNUMBER(AD72),Panduan_W6!$B$5,0)+IF(ISNUMBER(AE72),Panduan_W6!$B$6,0)+IF(ISNUMBER(AF72),Panduan_W6!$B$7,0)+IF(ISNUMBER(AG72),Panduan_W6!$B$8,0)</f>
        <v/>
      </c>
      <c r="AI72" s="4">
        <f>IF(LEFT(AJ72,7)&lt;&gt;"Lengkap","",IF(AJ72="Lengkap (gang)",AG72,(IF(ISNUMBER(AC72),Panduan_W6!$B$4*AC72,0)+IF(ISNUMBER(AD72),Panduan_W6!$B$5*AD72,0)+IF(ISNUMBER(AE72),Panduan_W6!$B$6*AE72,0)+IF(ISNUMBER(AF72),Panduan_W6!$B$7*AF72,0)+IF(ISNUMBER(AG72),Panduan_W6!$B$8*AG72,0))/AH72))</f>
        <v/>
      </c>
      <c r="AJ72" s="6">
        <f>IF(AND(Panduan_W6!$B$11="Ya",$I72="Gang",$J72="Sepi"),IF(ISNUMBER(AG72),"Lengkap (gang)","Belum lengkap"),IF(AND(ISNUMBER(AC72),ISNUMBER(AD72),ISNUMBER(AE72),ISNUMBER(AG72),OR(ISNUMBER(AF72),$K72="Tidak ada")),"Lengkap","Belum lengkap"))</f>
        <v/>
      </c>
    </row>
    <row r="73" ht="15" customHeight="1">
      <c r="A73" s="3" t="inlineStr">
        <is>
          <t>RUAS-072</t>
        </is>
      </c>
      <c r="B73" s="3" t="inlineStr">
        <is>
          <t>Day 3</t>
        </is>
      </c>
      <c r="C73" s="3" t="inlineStr">
        <is>
          <t>KWS-09</t>
        </is>
      </c>
      <c r="D73" s="3" t="inlineStr">
        <is>
          <t>Theo</t>
        </is>
      </c>
      <c r="E73" s="3" t="inlineStr">
        <is>
          <t>2026-08-18</t>
        </is>
      </c>
      <c r="F73" s="3" t="inlineStr">
        <is>
          <t>16:26</t>
        </is>
      </c>
      <c r="G73" s="3" t="inlineStr">
        <is>
          <t>Jl.Murai</t>
        </is>
      </c>
      <c r="H73" s="3" t="n">
        <v>178.34</v>
      </c>
      <c r="I73" s="3" t="inlineStr">
        <is>
          <t>Jalan kecil</t>
        </is>
      </c>
      <c r="J73" s="3" t="inlineStr">
        <is>
          <t>Sepi</t>
        </is>
      </c>
      <c r="K73" s="3" t="inlineStr">
        <is>
          <t>Tidak ada</t>
        </is>
      </c>
      <c r="L73" s="3" t="n"/>
      <c r="M73" s="3" t="n">
        <v>5.3</v>
      </c>
      <c r="N73" s="3" t="n"/>
      <c r="O73" s="3" t="inlineStr">
        <is>
          <t>tidak ada</t>
        </is>
      </c>
      <c r="P73" s="3" t="n">
        <v>0</v>
      </c>
      <c r="Q73" s="3" t="inlineStr">
        <is>
          <t>Ya</t>
        </is>
      </c>
      <c r="R73" s="3" t="n"/>
      <c r="S73" s="3" t="n"/>
      <c r="T73" s="3" t="n">
        <v>10</v>
      </c>
      <c r="U73" s="3" t="n">
        <v>0</v>
      </c>
      <c r="V73" s="3" t="n">
        <v>16.28</v>
      </c>
      <c r="W73" s="3" t="inlineStr">
        <is>
          <t>Di atas 50 persen</t>
        </is>
      </c>
      <c r="X73" s="3" t="n">
        <v>157</v>
      </c>
      <c r="Y73" s="3" t="n">
        <v>2</v>
      </c>
      <c r="Z73" s="3" t="n"/>
      <c r="AA73" s="3" t="n">
        <v>2</v>
      </c>
      <c r="AB73" s="3" t="n">
        <v>1.14</v>
      </c>
      <c r="AC73" s="4">
        <f>IF($K73="","",IF($K73="Ada",1,IF($K73="Sebagian",0.5,0)))</f>
        <v/>
      </c>
      <c r="AD73" s="4">
        <f>IF($K73="","",IF($K73="Tidak ada",0,IF($L73="","",MIN($L73/Panduan_W6!$B$9,1))))</f>
        <v/>
      </c>
      <c r="AE73" s="4">
        <f>IF($K73="","",IF($K73="Tidak ada",0,IF(OR($N73="",$H73=""),"",MAX(0,1-$N73/$H73))))</f>
        <v/>
      </c>
      <c r="AF73" s="4">
        <f>IF(OR($K73="",$K73="Tidak ada"),"",IF(OR($P73="",$H73=""),"",EXP(-$P73/$H73*100/Panduan_W6!$B$10)))</f>
        <v/>
      </c>
      <c r="AG73" s="4">
        <f>IF($Q73="","",IF($Q73="Tidak",1,0))</f>
        <v/>
      </c>
      <c r="AH73" s="5">
        <f>IF(ISNUMBER(AC73),Panduan_W6!$B$4,0)+IF(ISNUMBER(AD73),Panduan_W6!$B$5,0)+IF(ISNUMBER(AE73),Panduan_W6!$B$6,0)+IF(ISNUMBER(AF73),Panduan_W6!$B$7,0)+IF(ISNUMBER(AG73),Panduan_W6!$B$8,0)</f>
        <v/>
      </c>
      <c r="AI73" s="4">
        <f>IF(LEFT(AJ73,7)&lt;&gt;"Lengkap","",IF(AJ73="Lengkap (gang)",AG73,(IF(ISNUMBER(AC73),Panduan_W6!$B$4*AC73,0)+IF(ISNUMBER(AD73),Panduan_W6!$B$5*AD73,0)+IF(ISNUMBER(AE73),Panduan_W6!$B$6*AE73,0)+IF(ISNUMBER(AF73),Panduan_W6!$B$7*AF73,0)+IF(ISNUMBER(AG73),Panduan_W6!$B$8*AG73,0))/AH73))</f>
        <v/>
      </c>
      <c r="AJ73" s="6">
        <f>IF(AND(Panduan_W6!$B$11="Ya",$I73="Gang",$J73="Sepi"),IF(ISNUMBER(AG73),"Lengkap (gang)","Belum lengkap"),IF(AND(ISNUMBER(AC73),ISNUMBER(AD73),ISNUMBER(AE73),ISNUMBER(AG73),OR(ISNUMBER(AF73),$K73="Tidak ada")),"Lengkap","Belum lengkap"))</f>
        <v/>
      </c>
    </row>
    <row r="74" ht="15" customHeight="1">
      <c r="A74" s="3" t="inlineStr">
        <is>
          <t>RUAS-073</t>
        </is>
      </c>
      <c r="B74" s="3" t="inlineStr">
        <is>
          <t>Day 3</t>
        </is>
      </c>
      <c r="C74" s="3" t="inlineStr">
        <is>
          <t>KWS-10</t>
        </is>
      </c>
      <c r="D74" s="3" t="inlineStr">
        <is>
          <t>Delon</t>
        </is>
      </c>
      <c r="E74" s="3" t="inlineStr">
        <is>
          <t>2026-08-18</t>
        </is>
      </c>
      <c r="F74" s="3" t="inlineStr">
        <is>
          <t>21:34</t>
        </is>
      </c>
      <c r="G74" s="3" t="inlineStr">
        <is>
          <t>Jl. Jogja-Solo</t>
        </is>
      </c>
      <c r="H74" s="3" t="n">
        <v>171</v>
      </c>
      <c r="I74" s="3" t="inlineStr">
        <is>
          <t>Jalan raya</t>
        </is>
      </c>
      <c r="J74" s="3" t="inlineStr">
        <is>
          <t>Ramai</t>
        </is>
      </c>
      <c r="K74" s="3" t="inlineStr">
        <is>
          <t>Ada</t>
        </is>
      </c>
      <c r="L74" s="3" t="n">
        <v>1.5</v>
      </c>
      <c r="M74" s="3" t="n">
        <v>30</v>
      </c>
      <c r="N74" s="3" t="n">
        <v>0</v>
      </c>
      <c r="O74" s="3" t="inlineStr">
        <is>
          <t>beton</t>
        </is>
      </c>
      <c r="P74" s="3" t="n">
        <v>4</v>
      </c>
      <c r="Q74" s="3" t="inlineStr">
        <is>
          <t>Tidak</t>
        </is>
      </c>
      <c r="R74" s="3" t="n">
        <v>1</v>
      </c>
      <c r="S74" s="3" t="n"/>
      <c r="T74" s="3" t="n">
        <v>3</v>
      </c>
      <c r="U74" s="3" t="n">
        <v>1</v>
      </c>
      <c r="V74" s="3" t="n"/>
      <c r="W74" s="3" t="inlineStr">
        <is>
          <t>Nihil</t>
        </is>
      </c>
      <c r="X74" s="3" t="n">
        <v>226</v>
      </c>
      <c r="Y74" s="3" t="n"/>
      <c r="Z74" s="3" t="inlineStr">
        <is>
          <t>ada beton kotak2 menutup menghalangibarea pejalan kaki</t>
        </is>
      </c>
      <c r="AA74" s="3" t="n">
        <v>6</v>
      </c>
      <c r="AB74" s="3" t="n">
        <v>0.76</v>
      </c>
      <c r="AC74" s="4">
        <f>IF($K74="","",IF($K74="Ada",1,IF($K74="Sebagian",0.5,0)))</f>
        <v/>
      </c>
      <c r="AD74" s="4">
        <f>IF($K74="","",IF($K74="Tidak ada",0,IF($L74="","",MIN($L74/Panduan_W6!$B$9,1))))</f>
        <v/>
      </c>
      <c r="AE74" s="4">
        <f>IF($K74="","",IF($K74="Tidak ada",0,IF(OR($N74="",$H74=""),"",MAX(0,1-$N74/$H74))))</f>
        <v/>
      </c>
      <c r="AF74" s="4">
        <f>IF(OR($K74="",$K74="Tidak ada"),"",IF(OR($P74="",$H74=""),"",EXP(-$P74/$H74*100/Panduan_W6!$B$10)))</f>
        <v/>
      </c>
      <c r="AG74" s="4">
        <f>IF($Q74="","",IF($Q74="Tidak",1,0))</f>
        <v/>
      </c>
      <c r="AH74" s="5">
        <f>IF(ISNUMBER(AC74),Panduan_W6!$B$4,0)+IF(ISNUMBER(AD74),Panduan_W6!$B$5,0)+IF(ISNUMBER(AE74),Panduan_W6!$B$6,0)+IF(ISNUMBER(AF74),Panduan_W6!$B$7,0)+IF(ISNUMBER(AG74),Panduan_W6!$B$8,0)</f>
        <v/>
      </c>
      <c r="AI74" s="4">
        <f>IF(LEFT(AJ74,7)&lt;&gt;"Lengkap","",IF(AJ74="Lengkap (gang)",AG74,(IF(ISNUMBER(AC74),Panduan_W6!$B$4*AC74,0)+IF(ISNUMBER(AD74),Panduan_W6!$B$5*AD74,0)+IF(ISNUMBER(AE74),Panduan_W6!$B$6*AE74,0)+IF(ISNUMBER(AF74),Panduan_W6!$B$7*AF74,0)+IF(ISNUMBER(AG74),Panduan_W6!$B$8*AG74,0))/AH74))</f>
        <v/>
      </c>
      <c r="AJ74" s="6">
        <f>IF(AND(Panduan_W6!$B$11="Ya",$I74="Gang",$J74="Sepi"),IF(ISNUMBER(AG74),"Lengkap (gang)","Belum lengkap"),IF(AND(ISNUMBER(AC74),ISNUMBER(AD74),ISNUMBER(AE74),ISNUMBER(AG74),OR(ISNUMBER(AF74),$K74="Tidak ada")),"Lengkap","Belum lengkap"))</f>
        <v/>
      </c>
    </row>
    <row r="75" ht="15" customHeight="1">
      <c r="A75" s="3" t="inlineStr">
        <is>
          <t>RUAS-074</t>
        </is>
      </c>
      <c r="B75" s="3" t="inlineStr">
        <is>
          <t>Day 3</t>
        </is>
      </c>
      <c r="C75" s="3" t="inlineStr">
        <is>
          <t>KWS-10</t>
        </is>
      </c>
      <c r="D75" s="3" t="inlineStr">
        <is>
          <t>Delon</t>
        </is>
      </c>
      <c r="E75" s="3" t="inlineStr">
        <is>
          <t>2026-08-18</t>
        </is>
      </c>
      <c r="F75" s="3" t="inlineStr">
        <is>
          <t>21:41</t>
        </is>
      </c>
      <c r="G75" s="3" t="inlineStr">
        <is>
          <t>Karangploso, Maguwoharjo, Depok, Sleman Regency, Special Region of Yogyakarta 55281</t>
        </is>
      </c>
      <c r="H75" s="3" t="n">
        <v>55</v>
      </c>
      <c r="I75" s="3" t="inlineStr">
        <is>
          <t>Gang</t>
        </is>
      </c>
      <c r="J75" s="3" t="inlineStr">
        <is>
          <t>Sepi</t>
        </is>
      </c>
      <c r="K75" s="3" t="inlineStr">
        <is>
          <t>Tidak ada</t>
        </is>
      </c>
      <c r="L75" s="3" t="n">
        <v>0</v>
      </c>
      <c r="M75" s="3" t="n">
        <v>6</v>
      </c>
      <c r="N75" s="3" t="n">
        <v>0</v>
      </c>
      <c r="O75" s="3" t="inlineStr">
        <is>
          <t>tidak ada</t>
        </is>
      </c>
      <c r="P75" s="3" t="n">
        <v>0</v>
      </c>
      <c r="Q75" s="3" t="inlineStr">
        <is>
          <t>Ya</t>
        </is>
      </c>
      <c r="R75" s="3" t="n">
        <v>0</v>
      </c>
      <c r="S75" s="3" t="n">
        <v>0</v>
      </c>
      <c r="T75" s="3" t="n">
        <v>4</v>
      </c>
      <c r="U75" s="3" t="n">
        <v>0</v>
      </c>
      <c r="V75" s="3" t="n"/>
      <c r="W75" s="3" t="inlineStr">
        <is>
          <t>25 sampai 50 persen</t>
        </is>
      </c>
      <c r="X75" s="3" t="n">
        <v>54</v>
      </c>
      <c r="Y75" s="3" t="n"/>
      <c r="Z75" s="3" t="inlineStr">
        <is>
          <t>jalan mengecil, jakan berupa semen dan pavibg</t>
        </is>
      </c>
      <c r="AA75" s="3" t="n">
        <v>1</v>
      </c>
      <c r="AB75" s="3" t="n">
        <v>1.02</v>
      </c>
      <c r="AC75" s="4">
        <f>IF($K75="","",IF($K75="Ada",1,IF($K75="Sebagian",0.5,0)))</f>
        <v/>
      </c>
      <c r="AD75" s="4">
        <f>IF($K75="","",IF($K75="Tidak ada",0,IF($L75="","",MIN($L75/Panduan_W6!$B$9,1))))</f>
        <v/>
      </c>
      <c r="AE75" s="4">
        <f>IF($K75="","",IF($K75="Tidak ada",0,IF(OR($N75="",$H75=""),"",MAX(0,1-$N75/$H75))))</f>
        <v/>
      </c>
      <c r="AF75" s="4">
        <f>IF(OR($K75="",$K75="Tidak ada"),"",IF(OR($P75="",$H75=""),"",EXP(-$P75/$H75*100/Panduan_W6!$B$10)))</f>
        <v/>
      </c>
      <c r="AG75" s="4">
        <f>IF($Q75="","",IF($Q75="Tidak",1,0))</f>
        <v/>
      </c>
      <c r="AH75" s="5">
        <f>IF(ISNUMBER(AC75),Panduan_W6!$B$4,0)+IF(ISNUMBER(AD75),Panduan_W6!$B$5,0)+IF(ISNUMBER(AE75),Panduan_W6!$B$6,0)+IF(ISNUMBER(AF75),Panduan_W6!$B$7,0)+IF(ISNUMBER(AG75),Panduan_W6!$B$8,0)</f>
        <v/>
      </c>
      <c r="AI75" s="4">
        <f>IF(LEFT(AJ75,7)&lt;&gt;"Lengkap","",IF(AJ75="Lengkap (gang)",AG75,(IF(ISNUMBER(AC75),Panduan_W6!$B$4*AC75,0)+IF(ISNUMBER(AD75),Panduan_W6!$B$5*AD75,0)+IF(ISNUMBER(AE75),Panduan_W6!$B$6*AE75,0)+IF(ISNUMBER(AF75),Panduan_W6!$B$7*AF75,0)+IF(ISNUMBER(AG75),Panduan_W6!$B$8*AG75,0))/AH75))</f>
        <v/>
      </c>
      <c r="AJ75" s="6">
        <f>IF(AND(Panduan_W6!$B$11="Ya",$I75="Gang",$J75="Sepi"),IF(ISNUMBER(AG75),"Lengkap (gang)","Belum lengkap"),IF(AND(ISNUMBER(AC75),ISNUMBER(AD75),ISNUMBER(AE75),ISNUMBER(AG75),OR(ISNUMBER(AF75),$K75="Tidak ada")),"Lengkap","Belum lengkap"))</f>
        <v/>
      </c>
    </row>
    <row r="76" ht="15" customHeight="1">
      <c r="A76" s="3" t="inlineStr">
        <is>
          <t>RUAS-075</t>
        </is>
      </c>
      <c r="B76" s="3" t="inlineStr">
        <is>
          <t>Day 3</t>
        </is>
      </c>
      <c r="C76" s="3" t="inlineStr">
        <is>
          <t>KWS-10</t>
        </is>
      </c>
      <c r="D76" s="3" t="inlineStr">
        <is>
          <t>Delon</t>
        </is>
      </c>
      <c r="E76" s="3" t="inlineStr">
        <is>
          <t>2026-08-18</t>
        </is>
      </c>
      <c r="F76" s="3" t="inlineStr">
        <is>
          <t>21:55</t>
        </is>
      </c>
      <c r="G76" s="3" t="inlineStr">
        <is>
          <t>RW 058 Padukuhan Sambilegi Kidul, Maguwoharjo</t>
        </is>
      </c>
      <c r="H76" s="3" t="n">
        <v>54</v>
      </c>
      <c r="I76" s="3" t="inlineStr">
        <is>
          <t>Gang</t>
        </is>
      </c>
      <c r="J76" s="3" t="inlineStr">
        <is>
          <t>Sepi</t>
        </is>
      </c>
      <c r="K76" s="3" t="inlineStr">
        <is>
          <t>Tidak ada</t>
        </is>
      </c>
      <c r="L76" s="3" t="n">
        <v>0</v>
      </c>
      <c r="M76" s="3" t="n">
        <v>3.5</v>
      </c>
      <c r="N76" s="3" t="n"/>
      <c r="O76" s="3" t="inlineStr">
        <is>
          <t>tidak ada</t>
        </is>
      </c>
      <c r="P76" s="3" t="n">
        <v>0</v>
      </c>
      <c r="Q76" s="3" t="inlineStr">
        <is>
          <t>Ya</t>
        </is>
      </c>
      <c r="R76" s="3" t="n">
        <v>0</v>
      </c>
      <c r="S76" s="3" t="n">
        <v>0</v>
      </c>
      <c r="T76" s="3" t="n">
        <v>7</v>
      </c>
      <c r="U76" s="3" t="n">
        <v>0</v>
      </c>
      <c r="V76" s="3" t="n"/>
      <c r="W76" s="3" t="inlineStr">
        <is>
          <t>Nihil</t>
        </is>
      </c>
      <c r="X76" s="3" t="n">
        <v>53</v>
      </c>
      <c r="Y76" s="3" t="n"/>
      <c r="Z76" s="3" t="inlineStr">
        <is>
          <t>jalan paving, terang, banyak hmbul-umbul merah putih bekas 17 agustus</t>
        </is>
      </c>
      <c r="AA76" s="3" t="n">
        <v>1</v>
      </c>
      <c r="AB76" s="3" t="n">
        <v>1.02</v>
      </c>
      <c r="AC76" s="4">
        <f>IF($K76="","",IF($K76="Ada",1,IF($K76="Sebagian",0.5,0)))</f>
        <v/>
      </c>
      <c r="AD76" s="4">
        <f>IF($K76="","",IF($K76="Tidak ada",0,IF($L76="","",MIN($L76/Panduan_W6!$B$9,1))))</f>
        <v/>
      </c>
      <c r="AE76" s="4">
        <f>IF($K76="","",IF($K76="Tidak ada",0,IF(OR($N76="",$H76=""),"",MAX(0,1-$N76/$H76))))</f>
        <v/>
      </c>
      <c r="AF76" s="4">
        <f>IF(OR($K76="",$K76="Tidak ada"),"",IF(OR($P76="",$H76=""),"",EXP(-$P76/$H76*100/Panduan_W6!$B$10)))</f>
        <v/>
      </c>
      <c r="AG76" s="4">
        <f>IF($Q76="","",IF($Q76="Tidak",1,0))</f>
        <v/>
      </c>
      <c r="AH76" s="5">
        <f>IF(ISNUMBER(AC76),Panduan_W6!$B$4,0)+IF(ISNUMBER(AD76),Panduan_W6!$B$5,0)+IF(ISNUMBER(AE76),Panduan_W6!$B$6,0)+IF(ISNUMBER(AF76),Panduan_W6!$B$7,0)+IF(ISNUMBER(AG76),Panduan_W6!$B$8,0)</f>
        <v/>
      </c>
      <c r="AI76" s="4">
        <f>IF(LEFT(AJ76,7)&lt;&gt;"Lengkap","",IF(AJ76="Lengkap (gang)",AG76,(IF(ISNUMBER(AC76),Panduan_W6!$B$4*AC76,0)+IF(ISNUMBER(AD76),Panduan_W6!$B$5*AD76,0)+IF(ISNUMBER(AE76),Panduan_W6!$B$6*AE76,0)+IF(ISNUMBER(AF76),Panduan_W6!$B$7*AF76,0)+IF(ISNUMBER(AG76),Panduan_W6!$B$8*AG76,0))/AH76))</f>
        <v/>
      </c>
      <c r="AJ76" s="6">
        <f>IF(AND(Panduan_W6!$B$11="Ya",$I76="Gang",$J76="Sepi"),IF(ISNUMBER(AG76),"Lengkap (gang)","Belum lengkap"),IF(AND(ISNUMBER(AC76),ISNUMBER(AD76),ISNUMBER(AE76),ISNUMBER(AG76),OR(ISNUMBER(AF76),$K76="Tidak ada")),"Lengkap","Belum lengkap"))</f>
        <v/>
      </c>
    </row>
    <row r="77" ht="15" customHeight="1">
      <c r="A77" s="3" t="inlineStr">
        <is>
          <t>RUAS-076</t>
        </is>
      </c>
      <c r="B77" s="3" t="inlineStr">
        <is>
          <t>Day 3</t>
        </is>
      </c>
      <c r="C77" s="3" t="inlineStr">
        <is>
          <t>KWS-10</t>
        </is>
      </c>
      <c r="D77" s="3" t="inlineStr">
        <is>
          <t>Delon</t>
        </is>
      </c>
      <c r="E77" s="3" t="inlineStr">
        <is>
          <t>2026-08-18</t>
        </is>
      </c>
      <c r="F77" s="3" t="inlineStr">
        <is>
          <t>22:05</t>
        </is>
      </c>
      <c r="G77" s="3" t="inlineStr">
        <is>
          <t>Jl. Jogja-Solo</t>
        </is>
      </c>
      <c r="H77" s="3" t="n">
        <v>72</v>
      </c>
      <c r="I77" s="3" t="inlineStr">
        <is>
          <t>Jalan raya</t>
        </is>
      </c>
      <c r="J77" s="3" t="inlineStr">
        <is>
          <t>Ramai</t>
        </is>
      </c>
      <c r="K77" s="3" t="inlineStr">
        <is>
          <t>Ada</t>
        </is>
      </c>
      <c r="L77" s="3" t="n">
        <v>1</v>
      </c>
      <c r="M77" s="3" t="n">
        <v>30</v>
      </c>
      <c r="N77" s="3" t="n"/>
      <c r="O77" s="3" t="inlineStr">
        <is>
          <t>tidak ada</t>
        </is>
      </c>
      <c r="P77" s="3" t="n"/>
      <c r="Q77" s="3" t="inlineStr">
        <is>
          <t>Tidak</t>
        </is>
      </c>
      <c r="R77" s="3" t="n">
        <v>1</v>
      </c>
      <c r="S77" s="3" t="n">
        <v>0</v>
      </c>
      <c r="T77" s="3" t="n">
        <v>2</v>
      </c>
      <c r="U77" s="3" t="n">
        <v>0</v>
      </c>
      <c r="V77" s="3" t="n"/>
      <c r="W77" s="3" t="inlineStr">
        <is>
          <t>Nihil</t>
        </is>
      </c>
      <c r="X77" s="3" t="n">
        <v>72</v>
      </c>
      <c r="Y77" s="3" t="n"/>
      <c r="Z77" s="3" t="n"/>
      <c r="AA77" s="3" t="n">
        <v>3</v>
      </c>
      <c r="AB77" s="3" t="n">
        <v>1</v>
      </c>
      <c r="AC77" s="4">
        <f>IF($K77="","",IF($K77="Ada",1,IF($K77="Sebagian",0.5,0)))</f>
        <v/>
      </c>
      <c r="AD77" s="4">
        <f>IF($K77="","",IF($K77="Tidak ada",0,IF($L77="","",MIN($L77/Panduan_W6!$B$9,1))))</f>
        <v/>
      </c>
      <c r="AE77" s="4">
        <f>IF($K77="","",IF($K77="Tidak ada",0,IF(OR($N77="",$H77=""),"",MAX(0,1-$N77/$H77))))</f>
        <v/>
      </c>
      <c r="AF77" s="4">
        <f>IF(OR($K77="",$K77="Tidak ada"),"",IF(OR($P77="",$H77=""),"",EXP(-$P77/$H77*100/Panduan_W6!$B$10)))</f>
        <v/>
      </c>
      <c r="AG77" s="4">
        <f>IF($Q77="","",IF($Q77="Tidak",1,0))</f>
        <v/>
      </c>
      <c r="AH77" s="5">
        <f>IF(ISNUMBER(AC77),Panduan_W6!$B$4,0)+IF(ISNUMBER(AD77),Panduan_W6!$B$5,0)+IF(ISNUMBER(AE77),Panduan_W6!$B$6,0)+IF(ISNUMBER(AF77),Panduan_W6!$B$7,0)+IF(ISNUMBER(AG77),Panduan_W6!$B$8,0)</f>
        <v/>
      </c>
      <c r="AI77" s="4">
        <f>IF(LEFT(AJ77,7)&lt;&gt;"Lengkap","",IF(AJ77="Lengkap (gang)",AG77,(IF(ISNUMBER(AC77),Panduan_W6!$B$4*AC77,0)+IF(ISNUMBER(AD77),Panduan_W6!$B$5*AD77,0)+IF(ISNUMBER(AE77),Panduan_W6!$B$6*AE77,0)+IF(ISNUMBER(AF77),Panduan_W6!$B$7*AF77,0)+IF(ISNUMBER(AG77),Panduan_W6!$B$8*AG77,0))/AH77))</f>
        <v/>
      </c>
      <c r="AJ77" s="6">
        <f>IF(AND(Panduan_W6!$B$11="Ya",$I77="Gang",$J77="Sepi"),IF(ISNUMBER(AG77),"Lengkap (gang)","Belum lengkap"),IF(AND(ISNUMBER(AC77),ISNUMBER(AD77),ISNUMBER(AE77),ISNUMBER(AG77),OR(ISNUMBER(AF77),$K77="Tidak ada")),"Lengkap","Belum lengkap"))</f>
        <v/>
      </c>
    </row>
    <row r="78" ht="15" customHeight="1">
      <c r="A78" s="3" t="inlineStr">
        <is>
          <t>RUAS-077</t>
        </is>
      </c>
      <c r="B78" s="3" t="inlineStr">
        <is>
          <t>Day 4</t>
        </is>
      </c>
      <c r="C78" s="3" t="inlineStr">
        <is>
          <t>KWS-01</t>
        </is>
      </c>
      <c r="D78" s="3" t="inlineStr">
        <is>
          <t>Devon</t>
        </is>
      </c>
      <c r="E78" s="3" t="inlineStr">
        <is>
          <t>2026-08-24</t>
        </is>
      </c>
      <c r="F78" s="3" t="inlineStr">
        <is>
          <t>16:26</t>
        </is>
      </c>
      <c r="G78" s="3" t="inlineStr">
        <is>
          <t>Jl. Raya Janti</t>
        </is>
      </c>
      <c r="H78" s="3" t="n">
        <v>190</v>
      </c>
      <c r="I78" s="3" t="inlineStr">
        <is>
          <t>Jalan kecil</t>
        </is>
      </c>
      <c r="J78" s="3" t="inlineStr">
        <is>
          <t>Sedang</t>
        </is>
      </c>
      <c r="K78" s="3" t="inlineStr">
        <is>
          <t>Sebagian</t>
        </is>
      </c>
      <c r="L78" s="3" t="n">
        <v>0.4</v>
      </c>
      <c r="M78" s="3" t="n">
        <v>3</v>
      </c>
      <c r="N78" s="3" t="n">
        <v>45</v>
      </c>
      <c r="O78" s="3" t="inlineStr">
        <is>
          <t>jalan masuk bengkel</t>
        </is>
      </c>
      <c r="P78" s="3" t="n">
        <v>1</v>
      </c>
      <c r="Q78" s="3" t="inlineStr">
        <is>
          <t>Ya</t>
        </is>
      </c>
      <c r="R78" s="3" t="n">
        <v>0</v>
      </c>
      <c r="S78" s="3" t="n">
        <v>0</v>
      </c>
      <c r="T78" s="3" t="n">
        <v>3</v>
      </c>
      <c r="U78" s="3" t="n">
        <v>0</v>
      </c>
      <c r="V78" s="3" t="n">
        <v>30</v>
      </c>
      <c r="W78" s="3" t="inlineStr">
        <is>
          <t>Di atas 50 persen</t>
        </is>
      </c>
      <c r="X78" s="3" t="n">
        <v>157</v>
      </c>
      <c r="Y78" s="3" t="n">
        <v>3</v>
      </c>
      <c r="Z78" s="3" t="inlineStr">
        <is>
          <t>Trotoar sempit. Terhalang wadah bendera dan jalan naik mobil</t>
        </is>
      </c>
      <c r="AA78" s="3" t="n">
        <v>1</v>
      </c>
      <c r="AB78" s="3" t="n">
        <v>1.21</v>
      </c>
      <c r="AC78" s="4">
        <f>IF($K78="","",IF($K78="Ada",1,IF($K78="Sebagian",0.5,0)))</f>
        <v/>
      </c>
      <c r="AD78" s="4">
        <f>IF($K78="","",IF($K78="Tidak ada",0,IF($L78="","",MIN($L78/Panduan_W6!$B$9,1))))</f>
        <v/>
      </c>
      <c r="AE78" s="4">
        <f>IF($K78="","",IF($K78="Tidak ada",0,IF(OR($N78="",$H78=""),"",MAX(0,1-$N78/$H78))))</f>
        <v/>
      </c>
      <c r="AF78" s="4">
        <f>IF(OR($K78="",$K78="Tidak ada"),"",IF(OR($P78="",$H78=""),"",EXP(-$P78/$H78*100/Panduan_W6!$B$10)))</f>
        <v/>
      </c>
      <c r="AG78" s="4">
        <f>IF($Q78="","",IF($Q78="Tidak",1,0))</f>
        <v/>
      </c>
      <c r="AH78" s="5">
        <f>IF(ISNUMBER(AC78),Panduan_W6!$B$4,0)+IF(ISNUMBER(AD78),Panduan_W6!$B$5,0)+IF(ISNUMBER(AE78),Panduan_W6!$B$6,0)+IF(ISNUMBER(AF78),Panduan_W6!$B$7,0)+IF(ISNUMBER(AG78),Panduan_W6!$B$8,0)</f>
        <v/>
      </c>
      <c r="AI78" s="4">
        <f>IF(LEFT(AJ78,7)&lt;&gt;"Lengkap","",IF(AJ78="Lengkap (gang)",AG78,(IF(ISNUMBER(AC78),Panduan_W6!$B$4*AC78,0)+IF(ISNUMBER(AD78),Panduan_W6!$B$5*AD78,0)+IF(ISNUMBER(AE78),Panduan_W6!$B$6*AE78,0)+IF(ISNUMBER(AF78),Panduan_W6!$B$7*AF78,0)+IF(ISNUMBER(AG78),Panduan_W6!$B$8*AG78,0))/AH78))</f>
        <v/>
      </c>
      <c r="AJ78" s="6">
        <f>IF(AND(Panduan_W6!$B$11="Ya",$I78="Gang",$J78="Sepi"),IF(ISNUMBER(AG78),"Lengkap (gang)","Belum lengkap"),IF(AND(ISNUMBER(AC78),ISNUMBER(AD78),ISNUMBER(AE78),ISNUMBER(AG78),OR(ISNUMBER(AF78),$K78="Tidak ada")),"Lengkap","Belum lengkap"))</f>
        <v/>
      </c>
    </row>
    <row r="79" ht="15" customHeight="1">
      <c r="A79" s="3" t="inlineStr">
        <is>
          <t>RUAS-078</t>
        </is>
      </c>
      <c r="B79" s="3" t="inlineStr">
        <is>
          <t>Day 4</t>
        </is>
      </c>
      <c r="C79" s="3" t="inlineStr">
        <is>
          <t>KWS-01</t>
        </is>
      </c>
      <c r="D79" s="3" t="inlineStr">
        <is>
          <t>Devon</t>
        </is>
      </c>
      <c r="E79" s="3" t="inlineStr">
        <is>
          <t>2026-08-24</t>
        </is>
      </c>
      <c r="F79" s="3" t="inlineStr">
        <is>
          <t>16:36</t>
        </is>
      </c>
      <c r="G79" s="3" t="inlineStr">
        <is>
          <t>Gg. Kruwing 1</t>
        </is>
      </c>
      <c r="H79" s="3" t="n">
        <v>50</v>
      </c>
      <c r="I79" s="3" t="inlineStr">
        <is>
          <t>Gang</t>
        </is>
      </c>
      <c r="J79" s="3" t="inlineStr">
        <is>
          <t>Sepi</t>
        </is>
      </c>
      <c r="K79" s="3" t="inlineStr">
        <is>
          <t>Tidak ada</t>
        </is>
      </c>
      <c r="L79" s="3" t="n">
        <v>0</v>
      </c>
      <c r="M79" s="3" t="n">
        <v>2.5</v>
      </c>
      <c r="N79" s="3" t="n">
        <v>0</v>
      </c>
      <c r="O79" s="3" t="inlineStr">
        <is>
          <t>tidak ada</t>
        </is>
      </c>
      <c r="P79" s="3" t="n">
        <v>0</v>
      </c>
      <c r="Q79" s="3" t="inlineStr">
        <is>
          <t>Ya</t>
        </is>
      </c>
      <c r="R79" s="3" t="n">
        <v>0</v>
      </c>
      <c r="S79" s="3" t="n">
        <v>0</v>
      </c>
      <c r="T79" s="3" t="n">
        <v>0</v>
      </c>
      <c r="U79" s="3" t="n">
        <v>0</v>
      </c>
      <c r="V79" s="3" t="n">
        <v>0</v>
      </c>
      <c r="W79" s="3" t="inlineStr">
        <is>
          <t>Di bawah 25 persen</t>
        </is>
      </c>
      <c r="X79" s="3" t="n">
        <v>47</v>
      </c>
      <c r="Y79" s="3" t="n">
        <v>2</v>
      </c>
      <c r="Z79" s="3" t="n"/>
      <c r="AA79" s="3" t="n">
        <v>1</v>
      </c>
      <c r="AB79" s="3" t="n">
        <v>1.06</v>
      </c>
      <c r="AC79" s="4">
        <f>IF($K79="","",IF($K79="Ada",1,IF($K79="Sebagian",0.5,0)))</f>
        <v/>
      </c>
      <c r="AD79" s="4">
        <f>IF($K79="","",IF($K79="Tidak ada",0,IF($L79="","",MIN($L79/Panduan_W6!$B$9,1))))</f>
        <v/>
      </c>
      <c r="AE79" s="4">
        <f>IF($K79="","",IF($K79="Tidak ada",0,IF(OR($N79="",$H79=""),"",MAX(0,1-$N79/$H79))))</f>
        <v/>
      </c>
      <c r="AF79" s="4">
        <f>IF(OR($K79="",$K79="Tidak ada"),"",IF(OR($P79="",$H79=""),"",EXP(-$P79/$H79*100/Panduan_W6!$B$10)))</f>
        <v/>
      </c>
      <c r="AG79" s="4">
        <f>IF($Q79="","",IF($Q79="Tidak",1,0))</f>
        <v/>
      </c>
      <c r="AH79" s="5">
        <f>IF(ISNUMBER(AC79),Panduan_W6!$B$4,0)+IF(ISNUMBER(AD79),Panduan_W6!$B$5,0)+IF(ISNUMBER(AE79),Panduan_W6!$B$6,0)+IF(ISNUMBER(AF79),Panduan_W6!$B$7,0)+IF(ISNUMBER(AG79),Panduan_W6!$B$8,0)</f>
        <v/>
      </c>
      <c r="AI79" s="4">
        <f>IF(LEFT(AJ79,7)&lt;&gt;"Lengkap","",IF(AJ79="Lengkap (gang)",AG79,(IF(ISNUMBER(AC79),Panduan_W6!$B$4*AC79,0)+IF(ISNUMBER(AD79),Panduan_W6!$B$5*AD79,0)+IF(ISNUMBER(AE79),Panduan_W6!$B$6*AE79,0)+IF(ISNUMBER(AF79),Panduan_W6!$B$7*AF79,0)+IF(ISNUMBER(AG79),Panduan_W6!$B$8*AG79,0))/AH79))</f>
        <v/>
      </c>
      <c r="AJ79" s="6">
        <f>IF(AND(Panduan_W6!$B$11="Ya",$I79="Gang",$J79="Sepi"),IF(ISNUMBER(AG79),"Lengkap (gang)","Belum lengkap"),IF(AND(ISNUMBER(AC79),ISNUMBER(AD79),ISNUMBER(AE79),ISNUMBER(AG79),OR(ISNUMBER(AF79),$K79="Tidak ada")),"Lengkap","Belum lengkap"))</f>
        <v/>
      </c>
    </row>
    <row r="80" ht="15" customHeight="1">
      <c r="A80" s="3" t="inlineStr">
        <is>
          <t>RUAS-079</t>
        </is>
      </c>
      <c r="B80" s="3" t="inlineStr">
        <is>
          <t>Day 4</t>
        </is>
      </c>
      <c r="C80" s="3" t="inlineStr">
        <is>
          <t>KWS-01</t>
        </is>
      </c>
      <c r="D80" s="3" t="inlineStr">
        <is>
          <t>Devon</t>
        </is>
      </c>
      <c r="E80" s="3" t="inlineStr">
        <is>
          <t>2026-08-24</t>
        </is>
      </c>
      <c r="F80" s="3" t="inlineStr">
        <is>
          <t>16:37</t>
        </is>
      </c>
      <c r="G80" s="3" t="inlineStr">
        <is>
          <t>Gg. Kruwing 1</t>
        </is>
      </c>
      <c r="H80" s="3" t="n">
        <v>140</v>
      </c>
      <c r="I80" s="3" t="inlineStr">
        <is>
          <t>Gang</t>
        </is>
      </c>
      <c r="J80" s="3" t="inlineStr">
        <is>
          <t>Sepi</t>
        </is>
      </c>
      <c r="K80" s="3" t="inlineStr">
        <is>
          <t>Tidak ada</t>
        </is>
      </c>
      <c r="L80" s="3" t="n">
        <v>0</v>
      </c>
      <c r="M80" s="3" t="n">
        <v>3</v>
      </c>
      <c r="N80" s="3" t="n">
        <v>0</v>
      </c>
      <c r="O80" s="3" t="inlineStr">
        <is>
          <t>tidak ada</t>
        </is>
      </c>
      <c r="P80" s="3" t="n">
        <v>0</v>
      </c>
      <c r="Q80" s="3" t="inlineStr">
        <is>
          <t>Ya</t>
        </is>
      </c>
      <c r="R80" s="3" t="n">
        <v>0</v>
      </c>
      <c r="S80" s="3" t="n">
        <v>0</v>
      </c>
      <c r="T80" s="3" t="n">
        <v>1</v>
      </c>
      <c r="U80" s="3" t="n">
        <v>0</v>
      </c>
      <c r="V80" s="3" t="n">
        <v>0</v>
      </c>
      <c r="W80" s="3" t="inlineStr">
        <is>
          <t>Nihil</t>
        </is>
      </c>
      <c r="X80" s="3" t="n">
        <v>119</v>
      </c>
      <c r="Y80" s="3" t="n">
        <v>2</v>
      </c>
      <c r="Z80" s="3" t="inlineStr">
        <is>
          <t>minim lampu jalan. sumber utama penerangan hanya berasal dari lampu rumah warga. Ada cermin pertigaan yang tidak berfungsi</t>
        </is>
      </c>
      <c r="AA80" s="3" t="n">
        <v>1</v>
      </c>
      <c r="AB80" s="3" t="n">
        <v>1.18</v>
      </c>
      <c r="AC80" s="4">
        <f>IF($K80="","",IF($K80="Ada",1,IF($K80="Sebagian",0.5,0)))</f>
        <v/>
      </c>
      <c r="AD80" s="4">
        <f>IF($K80="","",IF($K80="Tidak ada",0,IF($L80="","",MIN($L80/Panduan_W6!$B$9,1))))</f>
        <v/>
      </c>
      <c r="AE80" s="4">
        <f>IF($K80="","",IF($K80="Tidak ada",0,IF(OR($N80="",$H80=""),"",MAX(0,1-$N80/$H80))))</f>
        <v/>
      </c>
      <c r="AF80" s="4">
        <f>IF(OR($K80="",$K80="Tidak ada"),"",IF(OR($P80="",$H80=""),"",EXP(-$P80/$H80*100/Panduan_W6!$B$10)))</f>
        <v/>
      </c>
      <c r="AG80" s="4">
        <f>IF($Q80="","",IF($Q80="Tidak",1,0))</f>
        <v/>
      </c>
      <c r="AH80" s="5">
        <f>IF(ISNUMBER(AC80),Panduan_W6!$B$4,0)+IF(ISNUMBER(AD80),Panduan_W6!$B$5,0)+IF(ISNUMBER(AE80),Panduan_W6!$B$6,0)+IF(ISNUMBER(AF80),Panduan_W6!$B$7,0)+IF(ISNUMBER(AG80),Panduan_W6!$B$8,0)</f>
        <v/>
      </c>
      <c r="AI80" s="4">
        <f>IF(LEFT(AJ80,7)&lt;&gt;"Lengkap","",IF(AJ80="Lengkap (gang)",AG80,(IF(ISNUMBER(AC80),Panduan_W6!$B$4*AC80,0)+IF(ISNUMBER(AD80),Panduan_W6!$B$5*AD80,0)+IF(ISNUMBER(AE80),Panduan_W6!$B$6*AE80,0)+IF(ISNUMBER(AF80),Panduan_W6!$B$7*AF80,0)+IF(ISNUMBER(AG80),Panduan_W6!$B$8*AG80,0))/AH80))</f>
        <v/>
      </c>
      <c r="AJ80" s="6">
        <f>IF(AND(Panduan_W6!$B$11="Ya",$I80="Gang",$J80="Sepi"),IF(ISNUMBER(AG80),"Lengkap (gang)","Belum lengkap"),IF(AND(ISNUMBER(AC80),ISNUMBER(AD80),ISNUMBER(AE80),ISNUMBER(AG80),OR(ISNUMBER(AF80),$K80="Tidak ada")),"Lengkap","Belum lengkap"))</f>
        <v/>
      </c>
    </row>
    <row r="81" ht="15" customHeight="1">
      <c r="A81" s="3" t="inlineStr">
        <is>
          <t>RUAS-080</t>
        </is>
      </c>
      <c r="B81" s="3" t="inlineStr">
        <is>
          <t>Day 4</t>
        </is>
      </c>
      <c r="C81" s="3" t="inlineStr">
        <is>
          <t>KWS-01</t>
        </is>
      </c>
      <c r="D81" s="3" t="inlineStr">
        <is>
          <t>Devon</t>
        </is>
      </c>
      <c r="E81" s="3" t="inlineStr">
        <is>
          <t>2026-08-24</t>
        </is>
      </c>
      <c r="F81" s="3" t="inlineStr">
        <is>
          <t>17:04</t>
        </is>
      </c>
      <c r="G81" s="3" t="inlineStr">
        <is>
          <t>Jl. Raya Janti</t>
        </is>
      </c>
      <c r="H81" s="3" t="n">
        <v>180</v>
      </c>
      <c r="I81" s="3" t="inlineStr">
        <is>
          <t>Jalan kecil</t>
        </is>
      </c>
      <c r="J81" s="3" t="inlineStr">
        <is>
          <t>Sedang</t>
        </is>
      </c>
      <c r="K81" s="3" t="inlineStr">
        <is>
          <t>Sebagian</t>
        </is>
      </c>
      <c r="L81" s="3" t="n">
        <v>1</v>
      </c>
      <c r="M81" s="3" t="n">
        <v>3</v>
      </c>
      <c r="N81" s="3" t="n">
        <v>160</v>
      </c>
      <c r="O81" s="3" t="inlineStr">
        <is>
          <t>pedagang kaki lima</t>
        </is>
      </c>
      <c r="P81" s="3" t="n">
        <v>5</v>
      </c>
      <c r="Q81" s="3" t="inlineStr">
        <is>
          <t>Ya</t>
        </is>
      </c>
      <c r="R81" s="3" t="n">
        <v>0</v>
      </c>
      <c r="S81" s="3" t="n">
        <v>0</v>
      </c>
      <c r="T81" s="3" t="n">
        <v>3</v>
      </c>
      <c r="U81" s="3" t="n">
        <v>0</v>
      </c>
      <c r="V81" s="3" t="n">
        <v>40</v>
      </c>
      <c r="W81" s="3" t="inlineStr">
        <is>
          <t>Di bawah 25 persen</t>
        </is>
      </c>
      <c r="X81" s="3" t="n">
        <v>152</v>
      </c>
      <c r="Y81" s="3" t="n">
        <v>4</v>
      </c>
      <c r="Z81" s="3" t="inlineStr">
        <is>
          <t>Trotoar basah karna dipakai jualan</t>
        </is>
      </c>
      <c r="AA81" s="3" t="n">
        <v>1</v>
      </c>
      <c r="AB81" s="3" t="n">
        <v>1.18</v>
      </c>
      <c r="AC81" s="4">
        <f>IF($K81="","",IF($K81="Ada",1,IF($K81="Sebagian",0.5,0)))</f>
        <v/>
      </c>
      <c r="AD81" s="4">
        <f>IF($K81="","",IF($K81="Tidak ada",0,IF($L81="","",MIN($L81/Panduan_W6!$B$9,1))))</f>
        <v/>
      </c>
      <c r="AE81" s="4">
        <f>IF($K81="","",IF($K81="Tidak ada",0,IF(OR($N81="",$H81=""),"",MAX(0,1-$N81/$H81))))</f>
        <v/>
      </c>
      <c r="AF81" s="4">
        <f>IF(OR($K81="",$K81="Tidak ada"),"",IF(OR($P81="",$H81=""),"",EXP(-$P81/$H81*100/Panduan_W6!$B$10)))</f>
        <v/>
      </c>
      <c r="AG81" s="4">
        <f>IF($Q81="","",IF($Q81="Tidak",1,0))</f>
        <v/>
      </c>
      <c r="AH81" s="5">
        <f>IF(ISNUMBER(AC81),Panduan_W6!$B$4,0)+IF(ISNUMBER(AD81),Panduan_W6!$B$5,0)+IF(ISNUMBER(AE81),Panduan_W6!$B$6,0)+IF(ISNUMBER(AF81),Panduan_W6!$B$7,0)+IF(ISNUMBER(AG81),Panduan_W6!$B$8,0)</f>
        <v/>
      </c>
      <c r="AI81" s="4">
        <f>IF(LEFT(AJ81,7)&lt;&gt;"Lengkap","",IF(AJ81="Lengkap (gang)",AG81,(IF(ISNUMBER(AC81),Panduan_W6!$B$4*AC81,0)+IF(ISNUMBER(AD81),Panduan_W6!$B$5*AD81,0)+IF(ISNUMBER(AE81),Panduan_W6!$B$6*AE81,0)+IF(ISNUMBER(AF81),Panduan_W6!$B$7*AF81,0)+IF(ISNUMBER(AG81),Panduan_W6!$B$8*AG81,0))/AH81))</f>
        <v/>
      </c>
      <c r="AJ81" s="6">
        <f>IF(AND(Panduan_W6!$B$11="Ya",$I81="Gang",$J81="Sepi"),IF(ISNUMBER(AG81),"Lengkap (gang)","Belum lengkap"),IF(AND(ISNUMBER(AC81),ISNUMBER(AD81),ISNUMBER(AE81),ISNUMBER(AG81),OR(ISNUMBER(AF81),$K81="Tidak ada")),"Lengkap","Belum lengkap"))</f>
        <v/>
      </c>
    </row>
    <row r="82" ht="15" customHeight="1">
      <c r="A82" s="3" t="inlineStr">
        <is>
          <t>RUAS-081</t>
        </is>
      </c>
      <c r="B82" s="3" t="inlineStr">
        <is>
          <t>Day 4</t>
        </is>
      </c>
      <c r="C82" s="3" t="inlineStr">
        <is>
          <t>KWS-01</t>
        </is>
      </c>
      <c r="D82" s="3" t="inlineStr">
        <is>
          <t>Devon</t>
        </is>
      </c>
      <c r="E82" s="3" t="inlineStr">
        <is>
          <t>2026-08-24</t>
        </is>
      </c>
      <c r="F82" s="3" t="inlineStr">
        <is>
          <t>17:05</t>
        </is>
      </c>
      <c r="G82" s="3" t="inlineStr">
        <is>
          <t>Gg. Kruwing</t>
        </is>
      </c>
      <c r="H82" s="3" t="n">
        <v>170</v>
      </c>
      <c r="I82" s="3" t="inlineStr">
        <is>
          <t>Gang</t>
        </is>
      </c>
      <c r="J82" s="3" t="inlineStr">
        <is>
          <t>Sepi</t>
        </is>
      </c>
      <c r="K82" s="3" t="inlineStr">
        <is>
          <t>Tidak ada</t>
        </is>
      </c>
      <c r="L82" s="3" t="n">
        <v>0</v>
      </c>
      <c r="M82" s="3" t="n">
        <v>4</v>
      </c>
      <c r="N82" s="3" t="n">
        <v>0</v>
      </c>
      <c r="O82" s="3" t="inlineStr">
        <is>
          <t>tidak ada</t>
        </is>
      </c>
      <c r="P82" s="3" t="n">
        <v>4</v>
      </c>
      <c r="Q82" s="3" t="inlineStr">
        <is>
          <t>Ya</t>
        </is>
      </c>
      <c r="R82" s="3" t="n">
        <v>0</v>
      </c>
      <c r="S82" s="3" t="n">
        <v>0</v>
      </c>
      <c r="T82" s="3" t="n">
        <v>4</v>
      </c>
      <c r="U82" s="3" t="n">
        <v>0</v>
      </c>
      <c r="V82" s="3" t="n">
        <v>35</v>
      </c>
      <c r="W82" s="3" t="inlineStr">
        <is>
          <t>Di bawah 25 persen</t>
        </is>
      </c>
      <c r="X82" s="3" t="n">
        <v>144</v>
      </c>
      <c r="Y82" s="3" t="n">
        <v>2</v>
      </c>
      <c r="Z82" s="3" t="inlineStr">
        <is>
          <t>bersebalahn persis dengan rel kereta api</t>
        </is>
      </c>
      <c r="AA82" s="3" t="n">
        <v>1</v>
      </c>
      <c r="AB82" s="3" t="n">
        <v>1.18</v>
      </c>
      <c r="AC82" s="4">
        <f>IF($K82="","",IF($K82="Ada",1,IF($K82="Sebagian",0.5,0)))</f>
        <v/>
      </c>
      <c r="AD82" s="4">
        <f>IF($K82="","",IF($K82="Tidak ada",0,IF($L82="","",MIN($L82/Panduan_W6!$B$9,1))))</f>
        <v/>
      </c>
      <c r="AE82" s="4">
        <f>IF($K82="","",IF($K82="Tidak ada",0,IF(OR($N82="",$H82=""),"",MAX(0,1-$N82/$H82))))</f>
        <v/>
      </c>
      <c r="AF82" s="4">
        <f>IF(OR($K82="",$K82="Tidak ada"),"",IF(OR($P82="",$H82=""),"",EXP(-$P82/$H82*100/Panduan_W6!$B$10)))</f>
        <v/>
      </c>
      <c r="AG82" s="4">
        <f>IF($Q82="","",IF($Q82="Tidak",1,0))</f>
        <v/>
      </c>
      <c r="AH82" s="5">
        <f>IF(ISNUMBER(AC82),Panduan_W6!$B$4,0)+IF(ISNUMBER(AD82),Panduan_W6!$B$5,0)+IF(ISNUMBER(AE82),Panduan_W6!$B$6,0)+IF(ISNUMBER(AF82),Panduan_W6!$B$7,0)+IF(ISNUMBER(AG82),Panduan_W6!$B$8,0)</f>
        <v/>
      </c>
      <c r="AI82" s="4">
        <f>IF(LEFT(AJ82,7)&lt;&gt;"Lengkap","",IF(AJ82="Lengkap (gang)",AG82,(IF(ISNUMBER(AC82),Panduan_W6!$B$4*AC82,0)+IF(ISNUMBER(AD82),Panduan_W6!$B$5*AD82,0)+IF(ISNUMBER(AE82),Panduan_W6!$B$6*AE82,0)+IF(ISNUMBER(AF82),Panduan_W6!$B$7*AF82,0)+IF(ISNUMBER(AG82),Panduan_W6!$B$8*AG82,0))/AH82))</f>
        <v/>
      </c>
      <c r="AJ82" s="6">
        <f>IF(AND(Panduan_W6!$B$11="Ya",$I82="Gang",$J82="Sepi"),IF(ISNUMBER(AG82),"Lengkap (gang)","Belum lengkap"),IF(AND(ISNUMBER(AC82),ISNUMBER(AD82),ISNUMBER(AE82),ISNUMBER(AG82),OR(ISNUMBER(AF82),$K82="Tidak ada")),"Lengkap","Belum lengkap"))</f>
        <v/>
      </c>
    </row>
    <row r="83" ht="15" customHeight="1">
      <c r="A83" s="3" t="inlineStr">
        <is>
          <t>RUAS-082</t>
        </is>
      </c>
      <c r="B83" s="3" t="inlineStr">
        <is>
          <t>Day 4</t>
        </is>
      </c>
      <c r="C83" s="3" t="inlineStr">
        <is>
          <t>KWS-01</t>
        </is>
      </c>
      <c r="D83" s="3" t="inlineStr">
        <is>
          <t>Devon</t>
        </is>
      </c>
      <c r="E83" s="3" t="inlineStr">
        <is>
          <t>2026-08-24</t>
        </is>
      </c>
      <c r="F83" s="3" t="inlineStr">
        <is>
          <t>17:13</t>
        </is>
      </c>
      <c r="G83" s="3" t="inlineStr">
        <is>
          <t>Gg. Kruwing</t>
        </is>
      </c>
      <c r="H83" s="3" t="n">
        <v>110</v>
      </c>
      <c r="I83" s="3" t="inlineStr">
        <is>
          <t>Gang</t>
        </is>
      </c>
      <c r="J83" s="3" t="inlineStr">
        <is>
          <t>Sepi</t>
        </is>
      </c>
      <c r="K83" s="3" t="inlineStr">
        <is>
          <t>Tidak ada</t>
        </is>
      </c>
      <c r="L83" s="3" t="n">
        <v>0</v>
      </c>
      <c r="M83" s="3" t="n">
        <v>4</v>
      </c>
      <c r="N83" s="3" t="n">
        <v>0</v>
      </c>
      <c r="O83" s="3" t="inlineStr">
        <is>
          <t>parkir motor</t>
        </is>
      </c>
      <c r="P83" s="3" t="n">
        <v>0</v>
      </c>
      <c r="Q83" s="3" t="inlineStr">
        <is>
          <t>Ya</t>
        </is>
      </c>
      <c r="R83" s="3" t="n">
        <v>0</v>
      </c>
      <c r="S83" s="3" t="n">
        <v>0</v>
      </c>
      <c r="T83" s="3" t="n">
        <v>5</v>
      </c>
      <c r="U83" s="3" t="n">
        <v>0</v>
      </c>
      <c r="V83" s="3" t="n">
        <v>20</v>
      </c>
      <c r="W83" s="3" t="inlineStr">
        <is>
          <t>Di bawah 25 persen</t>
        </is>
      </c>
      <c r="X83" s="3" t="n">
        <v>96</v>
      </c>
      <c r="Y83" s="3" t="n">
        <v>2</v>
      </c>
      <c r="Z83" s="3" t="inlineStr">
        <is>
          <t>bersevelahan persis dengan rel kereta api. sumber penerangan lampu gantung</t>
        </is>
      </c>
      <c r="AA83" s="3" t="n">
        <v>1</v>
      </c>
      <c r="AB83" s="3" t="n">
        <v>1.15</v>
      </c>
      <c r="AC83" s="4">
        <f>IF($K83="","",IF($K83="Ada",1,IF($K83="Sebagian",0.5,0)))</f>
        <v/>
      </c>
      <c r="AD83" s="4">
        <f>IF($K83="","",IF($K83="Tidak ada",0,IF($L83="","",MIN($L83/Panduan_W6!$B$9,1))))</f>
        <v/>
      </c>
      <c r="AE83" s="4">
        <f>IF($K83="","",IF($K83="Tidak ada",0,IF(OR($N83="",$H83=""),"",MAX(0,1-$N83/$H83))))</f>
        <v/>
      </c>
      <c r="AF83" s="4">
        <f>IF(OR($K83="",$K83="Tidak ada"),"",IF(OR($P83="",$H83=""),"",EXP(-$P83/$H83*100/Panduan_W6!$B$10)))</f>
        <v/>
      </c>
      <c r="AG83" s="4">
        <f>IF($Q83="","",IF($Q83="Tidak",1,0))</f>
        <v/>
      </c>
      <c r="AH83" s="5">
        <f>IF(ISNUMBER(AC83),Panduan_W6!$B$4,0)+IF(ISNUMBER(AD83),Panduan_W6!$B$5,0)+IF(ISNUMBER(AE83),Panduan_W6!$B$6,0)+IF(ISNUMBER(AF83),Panduan_W6!$B$7,0)+IF(ISNUMBER(AG83),Panduan_W6!$B$8,0)</f>
        <v/>
      </c>
      <c r="AI83" s="4">
        <f>IF(LEFT(AJ83,7)&lt;&gt;"Lengkap","",IF(AJ83="Lengkap (gang)",AG83,(IF(ISNUMBER(AC83),Panduan_W6!$B$4*AC83,0)+IF(ISNUMBER(AD83),Panduan_W6!$B$5*AD83,0)+IF(ISNUMBER(AE83),Panduan_W6!$B$6*AE83,0)+IF(ISNUMBER(AF83),Panduan_W6!$B$7*AF83,0)+IF(ISNUMBER(AG83),Panduan_W6!$B$8*AG83,0))/AH83))</f>
        <v/>
      </c>
      <c r="AJ83" s="6">
        <f>IF(AND(Panduan_W6!$B$11="Ya",$I83="Gang",$J83="Sepi"),IF(ISNUMBER(AG83),"Lengkap (gang)","Belum lengkap"),IF(AND(ISNUMBER(AC83),ISNUMBER(AD83),ISNUMBER(AE83),ISNUMBER(AG83),OR(ISNUMBER(AF83),$K83="Tidak ada")),"Lengkap","Belum lengkap"))</f>
        <v/>
      </c>
    </row>
    <row r="84" ht="15" customHeight="1">
      <c r="A84" s="3" t="inlineStr">
        <is>
          <t>RUAS-083</t>
        </is>
      </c>
      <c r="B84" s="3" t="inlineStr">
        <is>
          <t>Day 4</t>
        </is>
      </c>
      <c r="C84" s="3" t="inlineStr">
        <is>
          <t>KWS-01</t>
        </is>
      </c>
      <c r="D84" s="3" t="inlineStr">
        <is>
          <t>Devon</t>
        </is>
      </c>
      <c r="E84" s="3" t="inlineStr">
        <is>
          <t>2026-08-24</t>
        </is>
      </c>
      <c r="F84" s="3" t="inlineStr">
        <is>
          <t>17:30</t>
        </is>
      </c>
      <c r="G84" s="3" t="inlineStr">
        <is>
          <t>Jl. Raya Janti</t>
        </is>
      </c>
      <c r="H84" s="3" t="n">
        <v>200</v>
      </c>
      <c r="I84" s="3" t="inlineStr">
        <is>
          <t>Jalan kecil</t>
        </is>
      </c>
      <c r="J84" s="3" t="inlineStr">
        <is>
          <t>Sedang</t>
        </is>
      </c>
      <c r="K84" s="3" t="inlineStr">
        <is>
          <t>Tidak ada</t>
        </is>
      </c>
      <c r="L84" s="3" t="n">
        <v>0</v>
      </c>
      <c r="M84" s="3" t="n">
        <v>3.5</v>
      </c>
      <c r="N84" s="3" t="n">
        <v>0</v>
      </c>
      <c r="O84" s="3" t="inlineStr">
        <is>
          <t>mobil parkir</t>
        </is>
      </c>
      <c r="P84" s="3" t="n">
        <v>1</v>
      </c>
      <c r="Q84" s="3" t="inlineStr">
        <is>
          <t>Ya</t>
        </is>
      </c>
      <c r="R84" s="3" t="n">
        <v>0</v>
      </c>
      <c r="S84" s="3" t="n">
        <v>0</v>
      </c>
      <c r="T84" s="3" t="n">
        <v>3</v>
      </c>
      <c r="U84" s="3" t="n">
        <v>0</v>
      </c>
      <c r="V84" s="3" t="n">
        <v>30</v>
      </c>
      <c r="W84" s="3" t="inlineStr">
        <is>
          <t>Di bawah 25 persen</t>
        </is>
      </c>
      <c r="X84" s="3" t="n">
        <v>167</v>
      </c>
      <c r="Y84" s="3" t="n">
        <v>2</v>
      </c>
      <c r="Z84" s="3" t="inlineStr">
        <is>
          <t>Susah sekali jalan kaki. Banyak penghalang</t>
        </is>
      </c>
      <c r="AA84" s="3" t="n">
        <v>1</v>
      </c>
      <c r="AB84" s="3" t="n">
        <v>1.2</v>
      </c>
      <c r="AC84" s="4">
        <f>IF($K84="","",IF($K84="Ada",1,IF($K84="Sebagian",0.5,0)))</f>
        <v/>
      </c>
      <c r="AD84" s="4">
        <f>IF($K84="","",IF($K84="Tidak ada",0,IF($L84="","",MIN($L84/Panduan_W6!$B$9,1))))</f>
        <v/>
      </c>
      <c r="AE84" s="4">
        <f>IF($K84="","",IF($K84="Tidak ada",0,IF(OR($N84="",$H84=""),"",MAX(0,1-$N84/$H84))))</f>
        <v/>
      </c>
      <c r="AF84" s="4">
        <f>IF(OR($K84="",$K84="Tidak ada"),"",IF(OR($P84="",$H84=""),"",EXP(-$P84/$H84*100/Panduan_W6!$B$10)))</f>
        <v/>
      </c>
      <c r="AG84" s="4">
        <f>IF($Q84="","",IF($Q84="Tidak",1,0))</f>
        <v/>
      </c>
      <c r="AH84" s="5">
        <f>IF(ISNUMBER(AC84),Panduan_W6!$B$4,0)+IF(ISNUMBER(AD84),Panduan_W6!$B$5,0)+IF(ISNUMBER(AE84),Panduan_W6!$B$6,0)+IF(ISNUMBER(AF84),Panduan_W6!$B$7,0)+IF(ISNUMBER(AG84),Panduan_W6!$B$8,0)</f>
        <v/>
      </c>
      <c r="AI84" s="4">
        <f>IF(LEFT(AJ84,7)&lt;&gt;"Lengkap","",IF(AJ84="Lengkap (gang)",AG84,(IF(ISNUMBER(AC84),Panduan_W6!$B$4*AC84,0)+IF(ISNUMBER(AD84),Panduan_W6!$B$5*AD84,0)+IF(ISNUMBER(AE84),Panduan_W6!$B$6*AE84,0)+IF(ISNUMBER(AF84),Panduan_W6!$B$7*AF84,0)+IF(ISNUMBER(AG84),Panduan_W6!$B$8*AG84,0))/AH84))</f>
        <v/>
      </c>
      <c r="AJ84" s="6">
        <f>IF(AND(Panduan_W6!$B$11="Ya",$I84="Gang",$J84="Sepi"),IF(ISNUMBER(AG84),"Lengkap (gang)","Belum lengkap"),IF(AND(ISNUMBER(AC84),ISNUMBER(AD84),ISNUMBER(AE84),ISNUMBER(AG84),OR(ISNUMBER(AF84),$K84="Tidak ada")),"Lengkap","Belum lengkap"))</f>
        <v/>
      </c>
    </row>
    <row r="85" ht="15" customHeight="1">
      <c r="A85" s="3" t="inlineStr">
        <is>
          <t>RUAS-084</t>
        </is>
      </c>
      <c r="B85" s="3" t="inlineStr">
        <is>
          <t>Day 4</t>
        </is>
      </c>
      <c r="C85" s="3" t="inlineStr">
        <is>
          <t>KWS-01</t>
        </is>
      </c>
      <c r="D85" s="3" t="inlineStr">
        <is>
          <t>Devon</t>
        </is>
      </c>
      <c r="E85" s="3" t="inlineStr">
        <is>
          <t>2026-08-24</t>
        </is>
      </c>
      <c r="F85" s="3" t="inlineStr">
        <is>
          <t>17:41</t>
        </is>
      </c>
      <c r="G85" s="3" t="inlineStr">
        <is>
          <t>Jl. Raya Janti</t>
        </is>
      </c>
      <c r="H85" s="3" t="n">
        <v>200</v>
      </c>
      <c r="I85" s="3" t="inlineStr">
        <is>
          <t>Jalan kecil</t>
        </is>
      </c>
      <c r="J85" s="3" t="inlineStr">
        <is>
          <t>Sepi</t>
        </is>
      </c>
      <c r="K85" s="3" t="inlineStr">
        <is>
          <t>Tidak ada</t>
        </is>
      </c>
      <c r="L85" s="3" t="n">
        <v>0</v>
      </c>
      <c r="M85" s="3" t="n">
        <v>3.8</v>
      </c>
      <c r="N85" s="3" t="n">
        <v>0</v>
      </c>
      <c r="O85" s="3" t="inlineStr">
        <is>
          <t>mobil parkir</t>
        </is>
      </c>
      <c r="P85" s="3" t="n">
        <v>1</v>
      </c>
      <c r="Q85" s="3" t="inlineStr">
        <is>
          <t>Ya</t>
        </is>
      </c>
      <c r="R85" s="3" t="n">
        <v>0</v>
      </c>
      <c r="S85" s="3" t="n">
        <v>0</v>
      </c>
      <c r="T85" s="3" t="n">
        <v>2</v>
      </c>
      <c r="U85" s="3" t="n">
        <v>0</v>
      </c>
      <c r="V85" s="3" t="n">
        <v>0</v>
      </c>
      <c r="W85" s="3" t="inlineStr">
        <is>
          <t>Di bawah 25 persen</t>
        </is>
      </c>
      <c r="X85" s="3" t="n">
        <v>177</v>
      </c>
      <c r="Y85" s="3" t="n">
        <v>2</v>
      </c>
      <c r="Z85" s="3" t="n"/>
      <c r="AA85" s="3" t="n">
        <v>1</v>
      </c>
      <c r="AB85" s="3" t="n">
        <v>1.13</v>
      </c>
      <c r="AC85" s="4">
        <f>IF($K85="","",IF($K85="Ada",1,IF($K85="Sebagian",0.5,0)))</f>
        <v/>
      </c>
      <c r="AD85" s="4">
        <f>IF($K85="","",IF($K85="Tidak ada",0,IF($L85="","",MIN($L85/Panduan_W6!$B$9,1))))</f>
        <v/>
      </c>
      <c r="AE85" s="4">
        <f>IF($K85="","",IF($K85="Tidak ada",0,IF(OR($N85="",$H85=""),"",MAX(0,1-$N85/$H85))))</f>
        <v/>
      </c>
      <c r="AF85" s="4">
        <f>IF(OR($K85="",$K85="Tidak ada"),"",IF(OR($P85="",$H85=""),"",EXP(-$P85/$H85*100/Panduan_W6!$B$10)))</f>
        <v/>
      </c>
      <c r="AG85" s="4">
        <f>IF($Q85="","",IF($Q85="Tidak",1,0))</f>
        <v/>
      </c>
      <c r="AH85" s="5">
        <f>IF(ISNUMBER(AC85),Panduan_W6!$B$4,0)+IF(ISNUMBER(AD85),Panduan_W6!$B$5,0)+IF(ISNUMBER(AE85),Panduan_W6!$B$6,0)+IF(ISNUMBER(AF85),Panduan_W6!$B$7,0)+IF(ISNUMBER(AG85),Panduan_W6!$B$8,0)</f>
        <v/>
      </c>
      <c r="AI85" s="4">
        <f>IF(LEFT(AJ85,7)&lt;&gt;"Lengkap","",IF(AJ85="Lengkap (gang)",AG85,(IF(ISNUMBER(AC85),Panduan_W6!$B$4*AC85,0)+IF(ISNUMBER(AD85),Panduan_W6!$B$5*AD85,0)+IF(ISNUMBER(AE85),Panduan_W6!$B$6*AE85,0)+IF(ISNUMBER(AF85),Panduan_W6!$B$7*AF85,0)+IF(ISNUMBER(AG85),Panduan_W6!$B$8*AG85,0))/AH85))</f>
        <v/>
      </c>
      <c r="AJ85" s="6">
        <f>IF(AND(Panduan_W6!$B$11="Ya",$I85="Gang",$J85="Sepi"),IF(ISNUMBER(AG85),"Lengkap (gang)","Belum lengkap"),IF(AND(ISNUMBER(AC85),ISNUMBER(AD85),ISNUMBER(AE85),ISNUMBER(AG85),OR(ISNUMBER(AF85),$K85="Tidak ada")),"Lengkap","Belum lengkap"))</f>
        <v/>
      </c>
    </row>
  </sheetData>
  <autoFilter ref="A1:AJ85"/>
  <conditionalFormatting sqref="AJ2:AJ85">
    <cfRule type="cellIs" priority="2" operator="equal" dxfId="0">
      <formula>"Belum lengkap"</formula>
    </cfRule>
  </conditionalFormatting>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V13"/>
  <sheetViews>
    <sheetView zoomScaleNormal="100" workbookViewId="0">
      <pane ySplit="1" topLeftCell="A2" activePane="bottomLeft" state="frozen"/>
      <selection pane="bottomLeft" activeCell="A1" sqref="A1"/>
    </sheetView>
  </sheetViews>
  <sheetFormatPr baseColWidth="8" defaultColWidth="8.6640625" defaultRowHeight="14.4"/>
  <cols>
    <col width="10" customWidth="1" min="1" max="4"/>
    <col width="12" customWidth="1" min="5" max="5"/>
    <col width="10" customWidth="1" min="6" max="6"/>
    <col width="30" customWidth="1" min="7" max="7"/>
    <col width="36" customWidth="1" min="8" max="8"/>
    <col width="11" customWidth="1" min="9" max="9"/>
    <col width="21" customWidth="1" min="10" max="10"/>
    <col width="17" customWidth="1" min="11" max="11"/>
    <col width="14" customWidth="1" min="12" max="12"/>
    <col width="19" customWidth="1" min="13" max="14"/>
    <col width="23" customWidth="1" min="15" max="15"/>
    <col width="21" customWidth="1" min="16" max="16"/>
    <col width="46" customWidth="1" min="17" max="17"/>
    <col width="20" customWidth="1" min="18" max="18"/>
    <col width="22" customWidth="1" min="19" max="19"/>
    <col width="13" customWidth="1" min="20" max="20"/>
    <col width="46" customWidth="1" min="21" max="21"/>
    <col width="28" customWidth="1" min="22" max="22"/>
  </cols>
  <sheetData>
    <row r="1" ht="30" customHeight="1">
      <c r="A1" s="1" t="inlineStr">
        <is>
          <t>ID</t>
        </is>
      </c>
      <c r="B1" s="1" t="inlineStr">
        <is>
          <t>Day</t>
        </is>
      </c>
      <c r="C1" s="1" t="inlineStr">
        <is>
          <t>Kawasan</t>
        </is>
      </c>
      <c r="D1" s="1" t="inlineStr">
        <is>
          <t>Pencatat</t>
        </is>
      </c>
      <c r="E1" s="1" t="inlineStr">
        <is>
          <t>Tanggal</t>
        </is>
      </c>
      <c r="F1" s="1" t="inlineStr">
        <is>
          <t>Jam</t>
        </is>
      </c>
      <c r="G1" s="1" t="inlineStr">
        <is>
          <t>Nama halte</t>
        </is>
      </c>
      <c r="H1" s="1" t="inlineStr">
        <is>
          <t>Koridor</t>
        </is>
      </c>
      <c r="I1" s="1" t="inlineStr">
        <is>
          <t>Atap</t>
        </is>
      </c>
      <c r="J1" s="1" t="inlineStr">
        <is>
          <t>Jumlah tempat duduk</t>
        </is>
      </c>
      <c r="K1" s="1" t="inlineStr">
        <is>
          <t>Papan informasi</t>
        </is>
      </c>
      <c r="L1" s="1" t="inlineStr">
        <is>
          <t>Jumlah lampu</t>
        </is>
      </c>
      <c r="M1" s="1" t="inlineStr">
        <is>
          <t>Lampu rusak fisik</t>
        </is>
      </c>
      <c r="N1" s="1" t="inlineStr">
        <is>
          <t>Fasilitas difabel</t>
        </is>
      </c>
      <c r="O1" s="1" t="inlineStr">
        <is>
          <t>Durasi tunggu (detik)</t>
        </is>
      </c>
      <c r="P1" s="1" t="inlineStr">
        <is>
          <t>Jumlah bus berhenti</t>
        </is>
      </c>
      <c r="Q1" s="1" t="inlineStr">
        <is>
          <t>Jam kedatangan bus</t>
        </is>
      </c>
      <c r="R1" s="1" t="inlineStr">
        <is>
          <t>Penumpang menunggu</t>
        </is>
      </c>
      <c r="S1" s="1" t="inlineStr">
        <is>
          <t>Interval OSM (detik)</t>
        </is>
      </c>
      <c r="T1" s="1" t="inlineStr">
        <is>
          <t>Jumlah foto</t>
        </is>
      </c>
      <c r="U1" s="1" t="inlineStr">
        <is>
          <t>Catatan</t>
        </is>
      </c>
      <c r="V1" s="1" t="inlineStr">
        <is>
          <t>Jumlah kedatangan tercatat</t>
        </is>
      </c>
    </row>
    <row r="2" ht="15" customHeight="1">
      <c r="A2" s="3" t="inlineStr">
        <is>
          <t>HLT-001</t>
        </is>
      </c>
      <c r="B2" s="3" t="inlineStr">
        <is>
          <t>Day 1</t>
        </is>
      </c>
      <c r="C2" s="3" t="inlineStr">
        <is>
          <t>KWS-06</t>
        </is>
      </c>
      <c r="D2" s="3" t="inlineStr">
        <is>
          <t>Delon</t>
        </is>
      </c>
      <c r="E2" s="3" t="inlineStr">
        <is>
          <t>2026-08-16</t>
        </is>
      </c>
      <c r="F2" s="3" t="inlineStr">
        <is>
          <t>14:11</t>
        </is>
      </c>
      <c r="G2" s="3" t="inlineStr">
        <is>
          <t>Halte simpang Besi Jakang 2</t>
        </is>
      </c>
      <c r="H2" s="3" t="n"/>
      <c r="I2" s="3" t="inlineStr">
        <is>
          <t>Tidak ada</t>
        </is>
      </c>
      <c r="J2" s="3" t="n">
        <v>0</v>
      </c>
      <c r="K2" s="3" t="inlineStr">
        <is>
          <t>Tidak ada</t>
        </is>
      </c>
      <c r="L2" s="3" t="n">
        <v>0</v>
      </c>
      <c r="M2" s="3" t="n">
        <v>0</v>
      </c>
      <c r="N2" s="3" t="inlineStr">
        <is>
          <t>Tidak ada</t>
        </is>
      </c>
      <c r="O2" s="3" t="n">
        <v>600</v>
      </c>
      <c r="P2" s="3" t="n">
        <v>1</v>
      </c>
      <c r="Q2" s="3" t="inlineStr">
        <is>
          <t>14:13</t>
        </is>
      </c>
      <c r="R2" s="3" t="n">
        <v>0</v>
      </c>
      <c r="S2" s="3" t="n"/>
      <c r="T2" s="3" t="n">
        <v>1</v>
      </c>
      <c r="U2" s="3" t="inlineStr">
        <is>
          <t>hanya ada papan penanda bus</t>
        </is>
      </c>
      <c r="V2" s="3" t="n">
        <v>1</v>
      </c>
    </row>
    <row r="3" ht="15" customHeight="1">
      <c r="A3" s="3" t="inlineStr">
        <is>
          <t>HLT-002</t>
        </is>
      </c>
      <c r="B3" s="3" t="inlineStr">
        <is>
          <t>Day 1</t>
        </is>
      </c>
      <c r="C3" s="3" t="inlineStr">
        <is>
          <t>KWS-11</t>
        </is>
      </c>
      <c r="D3" s="3" t="inlineStr">
        <is>
          <t>Andalan</t>
        </is>
      </c>
      <c r="E3" s="3" t="inlineStr">
        <is>
          <t>2026-08-16</t>
        </is>
      </c>
      <c r="F3" s="3" t="inlineStr">
        <is>
          <t>17:37</t>
        </is>
      </c>
      <c r="G3" s="3" t="inlineStr">
        <is>
          <t>Halte RRU Kentungan</t>
        </is>
      </c>
      <c r="H3" s="3" t="inlineStr">
        <is>
          <t>2B, 3B, 4A, 5B</t>
        </is>
      </c>
      <c r="I3" s="3" t="inlineStr">
        <is>
          <t>Ada baik</t>
        </is>
      </c>
      <c r="J3" s="3" t="n">
        <v>1</v>
      </c>
      <c r="K3" s="3" t="inlineStr">
        <is>
          <t>Ada terbaca</t>
        </is>
      </c>
      <c r="L3" s="3" t="n">
        <v>2</v>
      </c>
      <c r="M3" s="3" t="n">
        <v>0</v>
      </c>
      <c r="N3" s="3" t="inlineStr">
        <is>
          <t>Sebagian</t>
        </is>
      </c>
      <c r="O3" s="3" t="n">
        <v>600</v>
      </c>
      <c r="P3" s="3" t="n">
        <v>2</v>
      </c>
      <c r="Q3" s="3" t="inlineStr">
        <is>
          <t>17:34, 17:45</t>
        </is>
      </c>
      <c r="R3" s="3" t="n">
        <v>7</v>
      </c>
      <c r="S3" s="3" t="n"/>
      <c r="T3" s="3" t="n">
        <v>3</v>
      </c>
      <c r="U3" s="3" t="inlineStr">
        <is>
          <t>bangunan halte baik, tapi kosong</t>
        </is>
      </c>
      <c r="V3" s="3" t="n">
        <v>2</v>
      </c>
    </row>
    <row r="4" ht="15" customHeight="1">
      <c r="A4" s="3" t="inlineStr">
        <is>
          <t>HLT-003</t>
        </is>
      </c>
      <c r="B4" s="3" t="inlineStr">
        <is>
          <t>Day 2</t>
        </is>
      </c>
      <c r="C4" s="3" t="inlineStr">
        <is>
          <t>KWS-04</t>
        </is>
      </c>
      <c r="D4" s="3" t="inlineStr">
        <is>
          <t>Delon</t>
        </is>
      </c>
      <c r="E4" s="3" t="inlineStr">
        <is>
          <t>2026-08-17</t>
        </is>
      </c>
      <c r="F4" s="3" t="inlineStr">
        <is>
          <t>08:30</t>
        </is>
      </c>
      <c r="G4" s="3" t="inlineStr">
        <is>
          <t>Halte KUA Depok Barat</t>
        </is>
      </c>
      <c r="H4" s="3" t="inlineStr">
        <is>
          <t>14</t>
        </is>
      </c>
      <c r="I4" s="3" t="inlineStr">
        <is>
          <t>Tidak ada</t>
        </is>
      </c>
      <c r="J4" s="3" t="n">
        <v>1</v>
      </c>
      <c r="K4" s="3" t="inlineStr">
        <is>
          <t>Ada pudar</t>
        </is>
      </c>
      <c r="L4" s="3" t="n">
        <v>0</v>
      </c>
      <c r="M4" s="3" t="n">
        <v>0</v>
      </c>
      <c r="N4" s="3" t="inlineStr">
        <is>
          <t>Tidak ada</t>
        </is>
      </c>
      <c r="O4" s="3" t="n">
        <v>600</v>
      </c>
      <c r="P4" s="3" t="n">
        <v>1</v>
      </c>
      <c r="Q4" s="3" t="inlineStr">
        <is>
          <t>08:33</t>
        </is>
      </c>
      <c r="R4" s="3" t="n">
        <v>1</v>
      </c>
      <c r="S4" s="3" t="n"/>
      <c r="T4" s="3" t="n">
        <v>1</v>
      </c>
      <c r="U4" s="3" t="inlineStr">
        <is>
          <t>hanya ada papan petubjuk dan penanda bus. papan petubjuk pudar dan tertutup tiang umbul-umbul 17an. ada kursi tetapi sepertunya bukan fasilitas resmu dari trans jogja</t>
        </is>
      </c>
      <c r="V4" s="3" t="n">
        <v>1</v>
      </c>
    </row>
    <row r="5" ht="15" customHeight="1">
      <c r="A5" s="3" t="inlineStr">
        <is>
          <t>HLT-004</t>
        </is>
      </c>
      <c r="B5" s="3" t="inlineStr">
        <is>
          <t>Day 2</t>
        </is>
      </c>
      <c r="C5" s="3" t="inlineStr">
        <is>
          <t>KWS-07</t>
        </is>
      </c>
      <c r="D5" s="3" t="inlineStr">
        <is>
          <t>Theo</t>
        </is>
      </c>
      <c r="E5" s="3" t="inlineStr">
        <is>
          <t>2026-08-17</t>
        </is>
      </c>
      <c r="F5" s="3" t="inlineStr">
        <is>
          <t>09:01</t>
        </is>
      </c>
      <c r="G5" s="3" t="inlineStr">
        <is>
          <t>Halte TJ RRU JIH</t>
        </is>
      </c>
      <c r="H5" s="3" t="inlineStr">
        <is>
          <t>3B, 5B</t>
        </is>
      </c>
      <c r="I5" s="3" t="inlineStr">
        <is>
          <t>Ada baik</t>
        </is>
      </c>
      <c r="J5" s="3" t="n">
        <v>1</v>
      </c>
      <c r="K5" s="3" t="inlineStr">
        <is>
          <t>Ada kesobek</t>
        </is>
      </c>
      <c r="L5" s="3" t="n">
        <v>2</v>
      </c>
      <c r="M5" s="3" t="n">
        <v>0</v>
      </c>
      <c r="N5" s="3" t="inlineStr">
        <is>
          <t>Tidak ada</t>
        </is>
      </c>
      <c r="O5" s="3" t="n">
        <v>1800</v>
      </c>
      <c r="P5" s="3" t="n">
        <v>2</v>
      </c>
      <c r="Q5" s="3" t="inlineStr">
        <is>
          <t>09:05, 08:43</t>
        </is>
      </c>
      <c r="R5" s="3" t="n">
        <v>0</v>
      </c>
      <c r="S5" s="3" t="n"/>
      <c r="T5" s="3" t="n">
        <v>4</v>
      </c>
      <c r="U5" s="3" t="inlineStr">
        <is>
          <t>keadaanya sudah buruk ada yang pecah pintunya rusak serta sudah tidak terkawal sepenuhnya, tapi masih aktif</t>
        </is>
      </c>
      <c r="V5" s="3" t="n">
        <v>2</v>
      </c>
    </row>
    <row r="6" ht="15" customHeight="1">
      <c r="A6" s="3" t="inlineStr">
        <is>
          <t>HLT-005</t>
        </is>
      </c>
      <c r="B6" s="3" t="inlineStr">
        <is>
          <t>Day 2</t>
        </is>
      </c>
      <c r="C6" s="3" t="inlineStr">
        <is>
          <t>KWS-08</t>
        </is>
      </c>
      <c r="D6" s="3" t="inlineStr">
        <is>
          <t>Delon</t>
        </is>
      </c>
      <c r="E6" s="3" t="inlineStr">
        <is>
          <t>2026-08-17</t>
        </is>
      </c>
      <c r="F6" s="3" t="inlineStr">
        <is>
          <t>09:28</t>
        </is>
      </c>
      <c r="G6" s="3" t="inlineStr">
        <is>
          <t>Halte  MAN 2 Sleman Barat</t>
        </is>
      </c>
      <c r="H6" s="3" t="inlineStr">
        <is>
          <t>14</t>
        </is>
      </c>
      <c r="I6" s="3" t="inlineStr">
        <is>
          <t>Ada baik</t>
        </is>
      </c>
      <c r="J6" s="3" t="n">
        <v>1</v>
      </c>
      <c r="K6" s="3" t="inlineStr">
        <is>
          <t>Ada terbaca</t>
        </is>
      </c>
      <c r="L6" s="3" t="n">
        <v>0</v>
      </c>
      <c r="M6" s="3" t="n">
        <v>0</v>
      </c>
      <c r="N6" s="3" t="inlineStr">
        <is>
          <t>Ada lengkap</t>
        </is>
      </c>
      <c r="O6" s="3" t="n">
        <v>900</v>
      </c>
      <c r="P6" s="3" t="n">
        <v>1</v>
      </c>
      <c r="Q6" s="3" t="inlineStr">
        <is>
          <t>09:38</t>
        </is>
      </c>
      <c r="R6" s="3" t="n">
        <v>0</v>
      </c>
      <c r="S6" s="3" t="n"/>
      <c r="T6" s="3" t="n">
        <v>2</v>
      </c>
      <c r="U6" s="3" t="inlineStr">
        <is>
          <t>kondisi bagus, ada atap, kursi kapasitad 5 orang, papan petunjuk rute seluruh trans jogja dan rute koridor 14</t>
        </is>
      </c>
      <c r="V6" s="3" t="n">
        <v>1</v>
      </c>
    </row>
    <row r="7" ht="15" customHeight="1">
      <c r="A7" s="3" t="inlineStr">
        <is>
          <t>HLT-006</t>
        </is>
      </c>
      <c r="B7" s="3" t="inlineStr">
        <is>
          <t>Day 2</t>
        </is>
      </c>
      <c r="C7" s="3" t="inlineStr">
        <is>
          <t>KWS-03</t>
        </is>
      </c>
      <c r="D7" s="3" t="inlineStr">
        <is>
          <t>Andalan</t>
        </is>
      </c>
      <c r="E7" s="3" t="inlineStr">
        <is>
          <t>2026-08-17</t>
        </is>
      </c>
      <c r="F7" s="3" t="inlineStr">
        <is>
          <t>10:47</t>
        </is>
      </c>
      <c r="G7" s="3" t="inlineStr">
        <is>
          <t>Halte UPN Veteran</t>
        </is>
      </c>
      <c r="H7" s="3" t="inlineStr">
        <is>
          <t>3A, 5A</t>
        </is>
      </c>
      <c r="I7" s="3" t="inlineStr">
        <is>
          <t>Ada baik</t>
        </is>
      </c>
      <c r="J7" s="3" t="n">
        <v>2</v>
      </c>
      <c r="K7" s="3" t="inlineStr">
        <is>
          <t>Ada terbaca</t>
        </is>
      </c>
      <c r="L7" s="3" t="n">
        <v>2</v>
      </c>
      <c r="M7" s="3" t="n">
        <v>0</v>
      </c>
      <c r="N7" s="3" t="inlineStr">
        <is>
          <t>Ada lengkap</t>
        </is>
      </c>
      <c r="O7" s="3" t="n">
        <v>900</v>
      </c>
      <c r="P7" s="3" t="n">
        <v>2</v>
      </c>
      <c r="Q7" s="3" t="inlineStr">
        <is>
          <t>10:48</t>
        </is>
      </c>
      <c r="R7" s="3" t="n">
        <v>8</v>
      </c>
      <c r="S7" s="3" t="n"/>
      <c r="T7" s="3" t="n">
        <v>2</v>
      </c>
      <c r="U7" s="3" t="inlineStr">
        <is>
          <t>rame isinya maba UPN pakai almet, haltenya bagus mungkin krn dekat kampus</t>
        </is>
      </c>
      <c r="V7" s="3" t="n">
        <v>1</v>
      </c>
    </row>
    <row r="8" ht="15" customHeight="1">
      <c r="A8" s="3" t="inlineStr">
        <is>
          <t>HLT-007</t>
        </is>
      </c>
      <c r="B8" s="3" t="inlineStr">
        <is>
          <t>Day 2</t>
        </is>
      </c>
      <c r="C8" s="3" t="inlineStr">
        <is>
          <t>KWS-12</t>
        </is>
      </c>
      <c r="D8" s="3" t="inlineStr">
        <is>
          <t>Delon</t>
        </is>
      </c>
      <c r="E8" s="3" t="inlineStr">
        <is>
          <t>2026-08-17</t>
        </is>
      </c>
      <c r="F8" s="3" t="inlineStr">
        <is>
          <t>12:11</t>
        </is>
      </c>
      <c r="G8" s="3" t="inlineStr">
        <is>
          <t>TJ RUU Disnaker</t>
        </is>
      </c>
      <c r="H8" s="3" t="inlineStr">
        <is>
          <t>3A, 14</t>
        </is>
      </c>
      <c r="I8" s="3" t="inlineStr">
        <is>
          <t>Ada baik</t>
        </is>
      </c>
      <c r="J8" s="3" t="n">
        <v>2</v>
      </c>
      <c r="K8" s="3" t="inlineStr">
        <is>
          <t>Tidak ada</t>
        </is>
      </c>
      <c r="L8" s="3" t="n">
        <v>4</v>
      </c>
      <c r="M8" s="3" t="n"/>
      <c r="N8" s="3" t="inlineStr">
        <is>
          <t>Sebagian</t>
        </is>
      </c>
      <c r="O8" s="3" t="n">
        <v>600</v>
      </c>
      <c r="P8" s="3" t="n">
        <v>1</v>
      </c>
      <c r="Q8" s="3" t="inlineStr">
        <is>
          <t>12:19</t>
        </is>
      </c>
      <c r="R8" s="3" t="n">
        <v>0</v>
      </c>
      <c r="S8" s="3" t="n"/>
      <c r="T8" s="3" t="n">
        <v>5</v>
      </c>
      <c r="U8" s="3" t="inlineStr">
        <is>
          <t xml:space="preserve">kondisi tidak terawat, tidak ada penjaga maupun petunjuk rute, ada jalan miring untuk prngguna kursi roda di salah satu pintu masuk, ada kursi di luar dan dalam, kursi di luar berkarat dan bolong  ada tempat parkir sepeda kapasitas 5 </t>
        </is>
      </c>
      <c r="V8" s="3" t="n">
        <v>1</v>
      </c>
    </row>
    <row r="9" ht="15" customHeight="1">
      <c r="A9" s="3" t="inlineStr">
        <is>
          <t>HLT-008</t>
        </is>
      </c>
      <c r="B9" s="3" t="inlineStr">
        <is>
          <t>Day 2</t>
        </is>
      </c>
      <c r="C9" s="3" t="inlineStr">
        <is>
          <t>KWS-05</t>
        </is>
      </c>
      <c r="D9" s="3" t="inlineStr">
        <is>
          <t>Andalan</t>
        </is>
      </c>
      <c r="E9" s="3" t="inlineStr">
        <is>
          <t>2026-08-17</t>
        </is>
      </c>
      <c r="F9" s="3" t="inlineStr">
        <is>
          <t>14:07</t>
        </is>
      </c>
      <c r="G9" s="3" t="inlineStr">
        <is>
          <t>Terminal Condongcatur</t>
        </is>
      </c>
      <c r="H9" s="3" t="inlineStr">
        <is>
          <t>2A, 2B, 3A, 3B, 4A, 4B, 5A, 5B, 12</t>
        </is>
      </c>
      <c r="I9" s="3" t="inlineStr">
        <is>
          <t>Ada baik</t>
        </is>
      </c>
      <c r="J9" s="3" t="n"/>
      <c r="K9" s="3" t="inlineStr">
        <is>
          <t>Ada terbaca</t>
        </is>
      </c>
      <c r="L9" s="3" t="n">
        <v>12</v>
      </c>
      <c r="M9" s="3" t="n">
        <v>1</v>
      </c>
      <c r="N9" s="3" t="inlineStr">
        <is>
          <t>Ada lengkap</t>
        </is>
      </c>
      <c r="O9" s="3" t="n">
        <v>600</v>
      </c>
      <c r="P9" s="3" t="n">
        <v>3</v>
      </c>
      <c r="Q9" s="3" t="inlineStr">
        <is>
          <t>14:18, 14:21, 14:23</t>
        </is>
      </c>
      <c r="R9" s="3" t="n">
        <v>13</v>
      </c>
      <c r="S9" s="3" t="n"/>
      <c r="T9" s="3" t="n">
        <v>4</v>
      </c>
      <c r="U9" s="3" t="n"/>
      <c r="V9" s="3" t="n">
        <v>3</v>
      </c>
    </row>
    <row r="10" ht="15" customHeight="1">
      <c r="A10" s="3" t="inlineStr">
        <is>
          <t>HLT-009</t>
        </is>
      </c>
      <c r="B10" s="3" t="inlineStr">
        <is>
          <t>Day 2</t>
        </is>
      </c>
      <c r="C10" s="3" t="inlineStr">
        <is>
          <t>KWS-02</t>
        </is>
      </c>
      <c r="D10" s="3" t="inlineStr">
        <is>
          <t>Delon</t>
        </is>
      </c>
      <c r="E10" s="3" t="inlineStr">
        <is>
          <t>2026-08-17</t>
        </is>
      </c>
      <c r="F10" s="3" t="inlineStr">
        <is>
          <t>15:40</t>
        </is>
      </c>
      <c r="G10" s="3" t="inlineStr">
        <is>
          <t>TPB Polsek Depok</t>
        </is>
      </c>
      <c r="H10" s="3" t="inlineStr">
        <is>
          <t>3A</t>
        </is>
      </c>
      <c r="I10" s="3" t="inlineStr">
        <is>
          <t>Tidak ada</t>
        </is>
      </c>
      <c r="J10" s="3" t="n">
        <v>0</v>
      </c>
      <c r="K10" s="3" t="inlineStr">
        <is>
          <t>Tidak ada</t>
        </is>
      </c>
      <c r="L10" s="3" t="n">
        <v>0</v>
      </c>
      <c r="M10" s="3" t="n">
        <v>0</v>
      </c>
      <c r="N10" s="3" t="inlineStr">
        <is>
          <t>Tidak ada</t>
        </is>
      </c>
      <c r="O10" s="3" t="n">
        <v>600</v>
      </c>
      <c r="P10" s="3" t="n">
        <v>0</v>
      </c>
      <c r="Q10" s="3" t="n"/>
      <c r="R10" s="3" t="n">
        <v>0</v>
      </c>
      <c r="S10" s="3" t="n"/>
      <c r="T10" s="3" t="n">
        <v>1</v>
      </c>
      <c r="U10" s="3" t="inlineStr">
        <is>
          <t>hanya ada tangga untuk naik bus, tidak ada penanda atau papan informasi</t>
        </is>
      </c>
      <c r="V10" s="3" t="n">
        <v>0</v>
      </c>
    </row>
    <row r="11" ht="15" customHeight="1">
      <c r="A11" s="3" t="inlineStr">
        <is>
          <t>HLT-010</t>
        </is>
      </c>
      <c r="B11" s="3" t="inlineStr">
        <is>
          <t>Day 3</t>
        </is>
      </c>
      <c r="C11" s="3" t="inlineStr">
        <is>
          <t>KWS-09</t>
        </is>
      </c>
      <c r="D11" s="3" t="inlineStr">
        <is>
          <t>Theo</t>
        </is>
      </c>
      <c r="E11" s="3" t="inlineStr">
        <is>
          <t>2026-08-18</t>
        </is>
      </c>
      <c r="F11" s="3" t="inlineStr">
        <is>
          <t>10:39</t>
        </is>
      </c>
      <c r="G11" s="3" t="inlineStr">
        <is>
          <t>Halte Nogotirto</t>
        </is>
      </c>
      <c r="H11" s="3" t="inlineStr">
        <is>
          <t>8</t>
        </is>
      </c>
      <c r="I11" s="3" t="inlineStr">
        <is>
          <t>Ada baik</t>
        </is>
      </c>
      <c r="J11" s="3" t="n">
        <v>1</v>
      </c>
      <c r="K11" s="3" t="inlineStr">
        <is>
          <t>Ada terbaca</t>
        </is>
      </c>
      <c r="L11" s="3" t="n">
        <v>2</v>
      </c>
      <c r="M11" s="3" t="n">
        <v>1</v>
      </c>
      <c r="N11" s="3" t="inlineStr">
        <is>
          <t>Tidak ada</t>
        </is>
      </c>
      <c r="O11" s="3" t="n"/>
      <c r="P11" s="3" t="n"/>
      <c r="Q11" s="3" t="n"/>
      <c r="R11" s="3" t="n"/>
      <c r="S11" s="3" t="n"/>
      <c r="T11" s="3" t="n"/>
      <c r="U11" s="3" t="n"/>
      <c r="V11" s="3" t="n">
        <v>0</v>
      </c>
    </row>
    <row r="12" ht="15" customHeight="1">
      <c r="A12" s="3" t="inlineStr">
        <is>
          <t>HLT-011</t>
        </is>
      </c>
      <c r="B12" s="3" t="inlineStr">
        <is>
          <t>Day 3</t>
        </is>
      </c>
      <c r="C12" s="3" t="inlineStr">
        <is>
          <t>KWS-10</t>
        </is>
      </c>
      <c r="D12" s="3" t="inlineStr">
        <is>
          <t>Delon</t>
        </is>
      </c>
      <c r="E12" s="3" t="inlineStr">
        <is>
          <t>2026-08-18</t>
        </is>
      </c>
      <c r="F12" s="3" t="inlineStr">
        <is>
          <t>11:11</t>
        </is>
      </c>
      <c r="G12" s="3" t="inlineStr">
        <is>
          <t>Halte TJ Bandara Adisutcipto</t>
        </is>
      </c>
      <c r="H12" s="3" t="inlineStr">
        <is>
          <t>14, 1A, 1B, 3A, 3B, 5B</t>
        </is>
      </c>
      <c r="I12" s="3" t="inlineStr">
        <is>
          <t>Ada baik</t>
        </is>
      </c>
      <c r="J12" s="3" t="n"/>
      <c r="K12" s="3" t="inlineStr">
        <is>
          <t>Ada terbaca</t>
        </is>
      </c>
      <c r="L12" s="3" t="n">
        <v>10</v>
      </c>
      <c r="M12" s="3" t="n">
        <v>0</v>
      </c>
      <c r="N12" s="3" t="inlineStr">
        <is>
          <t>Ada lengkap</t>
        </is>
      </c>
      <c r="O12" s="3" t="n">
        <v>600</v>
      </c>
      <c r="P12" s="3" t="n">
        <v>8</v>
      </c>
      <c r="Q12" s="3" t="inlineStr">
        <is>
          <t>11:13, 11:15, 11:16, 11:16, 11:17, 11:17, 11:18, 11:20</t>
        </is>
      </c>
      <c r="R12" s="3" t="n">
        <v>19</v>
      </c>
      <c r="S12" s="3" t="n"/>
      <c r="T12" s="3" t="n">
        <v>4</v>
      </c>
      <c r="U12" s="3" t="inlineStr">
        <is>
          <t>ada 3 penjaga yang menginformasikan rute, banyak penumpang karena merupakan transport hub (halte, KRL, bandara)</t>
        </is>
      </c>
      <c r="V12" s="3" t="n">
        <v>8</v>
      </c>
    </row>
    <row r="13" ht="15" customHeight="1">
      <c r="A13" s="3" t="inlineStr">
        <is>
          <t>HLT-012</t>
        </is>
      </c>
      <c r="B13" s="3" t="inlineStr">
        <is>
          <t>Day 4</t>
        </is>
      </c>
      <c r="C13" s="3" t="inlineStr">
        <is>
          <t>KWS-01</t>
        </is>
      </c>
      <c r="D13" s="3" t="inlineStr">
        <is>
          <t>Andalan</t>
        </is>
      </c>
      <c r="E13" s="3" t="inlineStr">
        <is>
          <t>2026-08-24</t>
        </is>
      </c>
      <c r="F13" s="3" t="inlineStr">
        <is>
          <t>15:37</t>
        </is>
      </c>
      <c r="G13" s="3" t="inlineStr">
        <is>
          <t>Halte Trans Janti Selatan</t>
        </is>
      </c>
      <c r="H13" s="3" t="inlineStr">
        <is>
          <t>1A, 1B, 5A, 5B</t>
        </is>
      </c>
      <c r="I13" s="3" t="inlineStr">
        <is>
          <t>Ada baik</t>
        </is>
      </c>
      <c r="J13" s="3" t="n">
        <v>3</v>
      </c>
      <c r="K13" s="3" t="inlineStr">
        <is>
          <t>Ada terbaca</t>
        </is>
      </c>
      <c r="L13" s="3" t="n">
        <v>3</v>
      </c>
      <c r="M13" s="3" t="n">
        <v>0</v>
      </c>
      <c r="N13" s="3" t="inlineStr">
        <is>
          <t>Ada lengkap</t>
        </is>
      </c>
      <c r="O13" s="3" t="n">
        <v>600</v>
      </c>
      <c r="P13" s="3" t="n">
        <v>2</v>
      </c>
      <c r="Q13" s="3" t="inlineStr">
        <is>
          <t>16:35, 16:40</t>
        </is>
      </c>
      <c r="R13" s="3" t="n">
        <v>4</v>
      </c>
      <c r="S13" s="3" t="n"/>
      <c r="T13" s="3" t="n">
        <v>3</v>
      </c>
      <c r="U13" s="3" t="inlineStr">
        <is>
          <t>di bawah flyover persis, teduh, sepi</t>
        </is>
      </c>
      <c r="V13" s="3" t="n">
        <v>2</v>
      </c>
    </row>
  </sheetData>
  <autoFilter ref="A1:V13"/>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T13"/>
  <sheetViews>
    <sheetView zoomScaleNormal="100" workbookViewId="0">
      <pane ySplit="1" topLeftCell="A2" activePane="bottomLeft" state="frozen"/>
      <selection pane="bottomLeft" activeCell="A1" sqref="A1"/>
    </sheetView>
  </sheetViews>
  <sheetFormatPr baseColWidth="8" defaultColWidth="8.6640625" defaultRowHeight="14.4"/>
  <cols>
    <col width="10" customWidth="1" min="1" max="4"/>
    <col width="12" customWidth="1" min="5" max="5"/>
    <col width="10" customWidth="1" min="6" max="6"/>
    <col width="46" customWidth="1" min="7" max="7"/>
    <col width="14" customWidth="1" min="8" max="8"/>
    <col width="11" customWidth="1" min="9" max="9"/>
    <col width="10" customWidth="1" min="10" max="11"/>
    <col width="12" customWidth="1" min="12" max="12"/>
    <col width="10" customWidth="1" min="13" max="14"/>
    <col width="12" customWidth="1" min="15" max="15"/>
    <col width="19" customWidth="1" min="16" max="16"/>
    <col width="28" customWidth="1" min="17" max="17"/>
    <col width="13" customWidth="1" min="18" max="18"/>
    <col width="46" customWidth="1" min="19" max="19"/>
    <col width="13" customWidth="1" min="20" max="20"/>
  </cols>
  <sheetData>
    <row r="1" ht="30" customHeight="1">
      <c r="A1" s="1" t="inlineStr">
        <is>
          <t>ID</t>
        </is>
      </c>
      <c r="B1" s="1" t="inlineStr">
        <is>
          <t>Day</t>
        </is>
      </c>
      <c r="C1" s="1" t="inlineStr">
        <is>
          <t>Kawasan</t>
        </is>
      </c>
      <c r="D1" s="1" t="inlineStr">
        <is>
          <t>Pencatat</t>
        </is>
      </c>
      <c r="E1" s="1" t="inlineStr">
        <is>
          <t>Tanggal</t>
        </is>
      </c>
      <c r="F1" s="1" t="inlineStr">
        <is>
          <t>Jam</t>
        </is>
      </c>
      <c r="G1" s="1" t="inlineStr">
        <is>
          <t>Nama titik</t>
        </is>
      </c>
      <c r="H1" s="1" t="inlineStr">
        <is>
          <t>Warung makan</t>
        </is>
      </c>
      <c r="I1" s="1" t="inlineStr">
        <is>
          <t>Kaki Lima</t>
        </is>
      </c>
      <c r="J1" s="1" t="inlineStr">
        <is>
          <t>Fotokopi</t>
        </is>
      </c>
      <c r="K1" s="1" t="inlineStr">
        <is>
          <t>Laundry</t>
        </is>
      </c>
      <c r="L1" s="1" t="inlineStr">
        <is>
          <t>Minimarket</t>
        </is>
      </c>
      <c r="M1" s="1" t="inlineStr">
        <is>
          <t>Apotek</t>
        </is>
      </c>
      <c r="N1" s="1" t="inlineStr">
        <is>
          <t>Resto</t>
        </is>
      </c>
      <c r="O1" s="1" t="inlineStr">
        <is>
          <t>Usaha lain</t>
        </is>
      </c>
      <c r="P1" s="1" t="inlineStr">
        <is>
          <t>Kondisi keramaian</t>
        </is>
      </c>
      <c r="Q1" s="1" t="inlineStr">
        <is>
          <t>Jam ramai menurut pedagang</t>
        </is>
      </c>
      <c r="R1" s="1" t="inlineStr">
        <is>
          <t>Jumlah foto</t>
        </is>
      </c>
      <c r="S1" s="1" t="inlineStr">
        <is>
          <t>Catatan</t>
        </is>
      </c>
      <c r="T1" s="1" t="inlineStr">
        <is>
          <t>Total usaha</t>
        </is>
      </c>
    </row>
    <row r="2" ht="15" customHeight="1">
      <c r="A2" s="3" t="inlineStr">
        <is>
          <t>EKO-001</t>
        </is>
      </c>
      <c r="B2" s="3" t="inlineStr">
        <is>
          <t>Day 1</t>
        </is>
      </c>
      <c r="C2" s="3" t="inlineStr">
        <is>
          <t>KWS-06</t>
        </is>
      </c>
      <c r="D2" s="3" t="inlineStr">
        <is>
          <t>Devon</t>
        </is>
      </c>
      <c r="E2" s="3" t="inlineStr">
        <is>
          <t>2026-08-16</t>
        </is>
      </c>
      <c r="F2" s="3" t="inlineStr">
        <is>
          <t>14:04</t>
        </is>
      </c>
      <c r="G2" s="3" t="inlineStr">
        <is>
          <t>Perempatan lampu merah Jl.Kaliurang Km 13</t>
        </is>
      </c>
      <c r="H2" s="3" t="n">
        <v>10</v>
      </c>
      <c r="I2" s="3" t="n">
        <v>3</v>
      </c>
      <c r="J2" s="3" t="n">
        <v>0</v>
      </c>
      <c r="K2" s="3" t="n">
        <v>1</v>
      </c>
      <c r="L2" s="3" t="n">
        <v>2</v>
      </c>
      <c r="M2" s="3" t="n">
        <v>1</v>
      </c>
      <c r="N2" s="3" t="n">
        <v>4</v>
      </c>
      <c r="O2" s="3" t="n">
        <v>25</v>
      </c>
      <c r="P2" s="3" t="inlineStr">
        <is>
          <t>Sedang</t>
        </is>
      </c>
      <c r="Q2" s="3" t="inlineStr">
        <is>
          <t>~18.00</t>
        </is>
      </c>
      <c r="R2" s="3" t="n">
        <v>4</v>
      </c>
      <c r="S2" s="3" t="inlineStr">
        <is>
          <t>Warung pak jono, menjual hidangan iga. Jam paling ramai umumnya sehabis maghrib dengan menu paling laris adalah sop iga dan iga bakar yang dibandrol dengan harga 38rb dan 45rb.</t>
        </is>
      </c>
      <c r="T2" s="3" t="n">
        <v>46</v>
      </c>
    </row>
    <row r="3" ht="15" customHeight="1">
      <c r="A3" s="3" t="inlineStr">
        <is>
          <t>EKO-002</t>
        </is>
      </c>
      <c r="B3" s="3" t="inlineStr">
        <is>
          <t>Day 1</t>
        </is>
      </c>
      <c r="C3" s="3" t="inlineStr">
        <is>
          <t>KWS-11</t>
        </is>
      </c>
      <c r="D3" s="3" t="inlineStr">
        <is>
          <t>Theo</t>
        </is>
      </c>
      <c r="E3" s="3" t="inlineStr">
        <is>
          <t>2026-08-16</t>
        </is>
      </c>
      <c r="F3" s="3" t="inlineStr">
        <is>
          <t>14:04</t>
        </is>
      </c>
      <c r="G3" s="3" t="inlineStr">
        <is>
          <t>Jl.Ringroad Utara</t>
        </is>
      </c>
      <c r="H3" s="3" t="n">
        <v>0</v>
      </c>
      <c r="I3" s="3" t="n">
        <v>1</v>
      </c>
      <c r="J3" s="3" t="n">
        <v>0</v>
      </c>
      <c r="K3" s="3" t="n">
        <v>0</v>
      </c>
      <c r="L3" s="3" t="n">
        <v>1</v>
      </c>
      <c r="M3" s="3" t="n">
        <v>1</v>
      </c>
      <c r="N3" s="3" t="n">
        <v>1</v>
      </c>
      <c r="O3" s="3" t="n">
        <v>7</v>
      </c>
      <c r="P3" s="3" t="inlineStr">
        <is>
          <t>Sedang</t>
        </is>
      </c>
      <c r="Q3" s="3" t="inlineStr">
        <is>
          <t>19:00:00</t>
        </is>
      </c>
      <c r="R3" s="3" t="n"/>
      <c r="S3" s="3" t="n"/>
      <c r="T3" s="3" t="n">
        <v>11</v>
      </c>
    </row>
    <row r="4" ht="15" customHeight="1">
      <c r="A4" s="3" t="inlineStr">
        <is>
          <t>EKO-003</t>
        </is>
      </c>
      <c r="B4" s="3" t="inlineStr">
        <is>
          <t>Day 2</t>
        </is>
      </c>
      <c r="C4" s="3" t="inlineStr">
        <is>
          <t>KWS-04</t>
        </is>
      </c>
      <c r="D4" s="3" t="inlineStr">
        <is>
          <t>Devon</t>
        </is>
      </c>
      <c r="E4" s="3" t="inlineStr">
        <is>
          <t>2026-08-17</t>
        </is>
      </c>
      <c r="F4" s="3" t="inlineStr">
        <is>
          <t>09:06</t>
        </is>
      </c>
      <c r="G4" s="3" t="inlineStr">
        <is>
          <t>Jl. Raya Tajem</t>
        </is>
      </c>
      <c r="H4" s="3" t="n">
        <v>2</v>
      </c>
      <c r="I4" s="3" t="n">
        <v>2</v>
      </c>
      <c r="J4" s="3" t="n">
        <v>0</v>
      </c>
      <c r="K4" s="3" t="n">
        <v>1</v>
      </c>
      <c r="L4" s="3" t="n">
        <v>1</v>
      </c>
      <c r="M4" s="3" t="n">
        <v>0</v>
      </c>
      <c r="N4" s="3" t="n">
        <v>2</v>
      </c>
      <c r="O4" s="3" t="n">
        <v>22</v>
      </c>
      <c r="P4" s="3" t="inlineStr">
        <is>
          <t>Ramai</t>
        </is>
      </c>
      <c r="Q4" s="3" t="n"/>
      <c r="R4" s="3" t="n"/>
      <c r="S4" s="3" t="n"/>
      <c r="T4" s="3" t="n">
        <v>30</v>
      </c>
    </row>
    <row r="5" ht="15" customHeight="1">
      <c r="A5" s="3" t="inlineStr">
        <is>
          <t>EKO-004</t>
        </is>
      </c>
      <c r="B5" s="3" t="inlineStr">
        <is>
          <t>Day 2</t>
        </is>
      </c>
      <c r="C5" s="3" t="inlineStr">
        <is>
          <t>KWS-07</t>
        </is>
      </c>
      <c r="D5" s="3" t="inlineStr">
        <is>
          <t>Theo</t>
        </is>
      </c>
      <c r="E5" s="3" t="inlineStr">
        <is>
          <t>2026-08-17</t>
        </is>
      </c>
      <c r="F5" s="3" t="inlineStr">
        <is>
          <t>09:20</t>
        </is>
      </c>
      <c r="G5" s="3" t="inlineStr">
        <is>
          <t>Jl. Ringroad Utara</t>
        </is>
      </c>
      <c r="H5" s="3" t="n">
        <v>0</v>
      </c>
      <c r="I5" s="3" t="n">
        <v>0</v>
      </c>
      <c r="J5" s="3" t="n">
        <v>0</v>
      </c>
      <c r="K5" s="3" t="n">
        <v>0</v>
      </c>
      <c r="L5" s="3" t="n">
        <v>0</v>
      </c>
      <c r="M5" s="3" t="n">
        <v>1</v>
      </c>
      <c r="N5" s="3" t="n">
        <v>0</v>
      </c>
      <c r="O5" s="3" t="n">
        <v>7</v>
      </c>
      <c r="P5" s="3" t="inlineStr">
        <is>
          <t>Sepi</t>
        </is>
      </c>
      <c r="Q5" s="3" t="inlineStr">
        <is>
          <t>-</t>
        </is>
      </c>
      <c r="R5" s="3" t="n">
        <v>3</v>
      </c>
      <c r="S5" s="3" t="n"/>
      <c r="T5" s="3" t="n">
        <v>8</v>
      </c>
    </row>
    <row r="6" ht="15" customHeight="1">
      <c r="A6" s="3" t="inlineStr">
        <is>
          <t>EKO-005</t>
        </is>
      </c>
      <c r="B6" s="3" t="inlineStr">
        <is>
          <t>Day 2</t>
        </is>
      </c>
      <c r="C6" s="3" t="inlineStr">
        <is>
          <t>KWS-08</t>
        </is>
      </c>
      <c r="D6" s="3" t="inlineStr">
        <is>
          <t>Delon</t>
        </is>
      </c>
      <c r="E6" s="3" t="inlineStr">
        <is>
          <t>2026-08-17</t>
        </is>
      </c>
      <c r="F6" s="3" t="inlineStr">
        <is>
          <t>09:44</t>
        </is>
      </c>
      <c r="G6" s="3" t="inlineStr">
        <is>
          <t>Jl. Raya Tajem</t>
        </is>
      </c>
      <c r="H6" s="3" t="n">
        <v>7</v>
      </c>
      <c r="I6" s="3" t="n">
        <v>10</v>
      </c>
      <c r="J6" s="3" t="n">
        <v>1</v>
      </c>
      <c r="K6" s="3" t="n">
        <v>0</v>
      </c>
      <c r="L6" s="3" t="n">
        <v>2</v>
      </c>
      <c r="M6" s="3" t="n">
        <v>0</v>
      </c>
      <c r="N6" s="3" t="n">
        <v>0</v>
      </c>
      <c r="O6" s="3" t="n">
        <v>14</v>
      </c>
      <c r="P6" s="3" t="inlineStr">
        <is>
          <t>Ramai</t>
        </is>
      </c>
      <c r="Q6" s="3" t="inlineStr">
        <is>
          <t>tidak menentu</t>
        </is>
      </c>
      <c r="R6" s="3" t="n">
        <v>6</v>
      </c>
      <c r="S6" s="3" t="n"/>
      <c r="T6" s="3" t="n">
        <v>34</v>
      </c>
    </row>
    <row r="7" ht="15" customHeight="1">
      <c r="A7" s="3" t="inlineStr">
        <is>
          <t>EKO-006</t>
        </is>
      </c>
      <c r="B7" s="3" t="inlineStr">
        <is>
          <t>Day 2</t>
        </is>
      </c>
      <c r="C7" s="3" t="inlineStr">
        <is>
          <t>KWS-12</t>
        </is>
      </c>
      <c r="D7" s="3" t="inlineStr">
        <is>
          <t>Delon</t>
        </is>
      </c>
      <c r="E7" s="3" t="inlineStr">
        <is>
          <t>2026-08-17</t>
        </is>
      </c>
      <c r="F7" s="3" t="inlineStr">
        <is>
          <t>12:31</t>
        </is>
      </c>
      <c r="G7" s="3" t="inlineStr">
        <is>
          <t>Jl. Ring Road Utara Km 11</t>
        </is>
      </c>
      <c r="H7" s="3" t="n">
        <v>4</v>
      </c>
      <c r="I7" s="3" t="n">
        <v>1</v>
      </c>
      <c r="J7" s="3" t="n">
        <v>0</v>
      </c>
      <c r="K7" s="3" t="n">
        <v>0</v>
      </c>
      <c r="L7" s="3" t="n">
        <v>1</v>
      </c>
      <c r="M7" s="3" t="n">
        <v>0</v>
      </c>
      <c r="N7" s="3" t="n">
        <v>0</v>
      </c>
      <c r="O7" s="3" t="n">
        <v>3</v>
      </c>
      <c r="P7" s="3" t="inlineStr">
        <is>
          <t>Sepi</t>
        </is>
      </c>
      <c r="Q7" s="3" t="inlineStr">
        <is>
          <t>-</t>
        </is>
      </c>
      <c r="R7" s="3" t="n">
        <v>5</v>
      </c>
      <c r="S7" s="3" t="n"/>
      <c r="T7" s="3" t="n">
        <v>9</v>
      </c>
    </row>
    <row r="8" ht="15" customHeight="1">
      <c r="A8" s="3" t="inlineStr">
        <is>
          <t>EKO-007</t>
        </is>
      </c>
      <c r="B8" s="3" t="inlineStr">
        <is>
          <t>Day 2</t>
        </is>
      </c>
      <c r="C8" s="3" t="inlineStr">
        <is>
          <t>KWS-03</t>
        </is>
      </c>
      <c r="D8" s="3" t="inlineStr">
        <is>
          <t>Theo</t>
        </is>
      </c>
      <c r="E8" s="3" t="inlineStr">
        <is>
          <t>2026-08-17</t>
        </is>
      </c>
      <c r="F8" s="3" t="inlineStr">
        <is>
          <t>12:42</t>
        </is>
      </c>
      <c r="G8" s="3" t="inlineStr">
        <is>
          <t>Jl. Padjajaran - Jl. perumnas</t>
        </is>
      </c>
      <c r="H8" s="3" t="n">
        <v>4</v>
      </c>
      <c r="I8" s="3" t="n">
        <v>0</v>
      </c>
      <c r="J8" s="3" t="n">
        <v>1</v>
      </c>
      <c r="K8" s="3" t="n">
        <v>2</v>
      </c>
      <c r="L8" s="3" t="n">
        <v>3</v>
      </c>
      <c r="M8" s="3" t="n">
        <v>0</v>
      </c>
      <c r="N8" s="3" t="n">
        <v>2</v>
      </c>
      <c r="O8" s="3" t="n">
        <v>12</v>
      </c>
      <c r="P8" s="3" t="inlineStr">
        <is>
          <t>Sedang</t>
        </is>
      </c>
      <c r="Q8" s="3" t="inlineStr">
        <is>
          <t>tidak menentu</t>
        </is>
      </c>
      <c r="R8" s="3" t="n">
        <v>20</v>
      </c>
      <c r="S8" s="3" t="n"/>
      <c r="T8" s="3" t="n">
        <v>24</v>
      </c>
    </row>
    <row r="9" ht="15" customHeight="1">
      <c r="A9" s="3" t="inlineStr">
        <is>
          <t>EKO-008</t>
        </is>
      </c>
      <c r="B9" s="3" t="inlineStr">
        <is>
          <t>Day 2</t>
        </is>
      </c>
      <c r="C9" s="3" t="inlineStr">
        <is>
          <t>KWS-02</t>
        </is>
      </c>
      <c r="D9" s="3" t="inlineStr">
        <is>
          <t>Delon</t>
        </is>
      </c>
      <c r="E9" s="3" t="inlineStr">
        <is>
          <t>2026-08-17</t>
        </is>
      </c>
      <c r="F9" s="3" t="inlineStr">
        <is>
          <t>16:07</t>
        </is>
      </c>
      <c r="G9" s="3" t="inlineStr">
        <is>
          <t>Jl. Ring Road Utara, Ngropoh, Condongcatur, Kec. Depok, Kabupaten Sleman, Daerah Istimewa Yogyakarta 55281</t>
        </is>
      </c>
      <c r="H9" s="3" t="n">
        <v>0</v>
      </c>
      <c r="I9" s="3" t="n">
        <v>1</v>
      </c>
      <c r="J9" s="3" t="n">
        <v>0</v>
      </c>
      <c r="K9" s="3" t="n">
        <v>0</v>
      </c>
      <c r="L9" s="3" t="n">
        <v>1</v>
      </c>
      <c r="M9" s="3" t="n">
        <v>0</v>
      </c>
      <c r="N9" s="3" t="n">
        <v>0</v>
      </c>
      <c r="O9" s="3" t="n">
        <v>9</v>
      </c>
      <c r="P9" s="3" t="inlineStr">
        <is>
          <t>Sepi</t>
        </is>
      </c>
      <c r="Q9" s="3" t="inlineStr">
        <is>
          <t>-</t>
        </is>
      </c>
      <c r="R9" s="3" t="n">
        <v>6</v>
      </c>
      <c r="S9" s="3" t="n"/>
      <c r="T9" s="3" t="n">
        <v>11</v>
      </c>
    </row>
    <row r="10" ht="15" customHeight="1">
      <c r="A10" s="3" t="inlineStr">
        <is>
          <t>EKO-009</t>
        </is>
      </c>
      <c r="B10" s="3" t="inlineStr">
        <is>
          <t>Day 2</t>
        </is>
      </c>
      <c r="C10" s="3" t="inlineStr">
        <is>
          <t>KWS-05</t>
        </is>
      </c>
      <c r="D10" s="3" t="inlineStr">
        <is>
          <t>Theo</t>
        </is>
      </c>
      <c r="E10" s="3" t="inlineStr">
        <is>
          <t>2026-08-17</t>
        </is>
      </c>
      <c r="F10" s="3" t="inlineStr">
        <is>
          <t>16:24</t>
        </is>
      </c>
      <c r="G10" s="3" t="inlineStr">
        <is>
          <t>JL. Anggajaya</t>
        </is>
      </c>
      <c r="H10" s="3" t="n">
        <v>5</v>
      </c>
      <c r="I10" s="3" t="n">
        <v>2</v>
      </c>
      <c r="J10" s="3" t="n">
        <v>0</v>
      </c>
      <c r="K10" s="3" t="n">
        <v>1</v>
      </c>
      <c r="L10" s="3" t="n">
        <v>2</v>
      </c>
      <c r="M10" s="3" t="n">
        <v>0</v>
      </c>
      <c r="N10" s="3" t="n">
        <v>3</v>
      </c>
      <c r="O10" s="3" t="n">
        <v>3</v>
      </c>
      <c r="P10" s="3" t="inlineStr">
        <is>
          <t>Sedang</t>
        </is>
      </c>
      <c r="Q10" s="3" t="inlineStr">
        <is>
          <t>/</t>
        </is>
      </c>
      <c r="R10" s="3" t="n">
        <v>1</v>
      </c>
      <c r="S10" s="3" t="n"/>
      <c r="T10" s="3" t="n">
        <v>16</v>
      </c>
    </row>
    <row r="11" ht="15" customHeight="1">
      <c r="A11" s="3" t="inlineStr">
        <is>
          <t>EKO-010</t>
        </is>
      </c>
      <c r="B11" s="3" t="inlineStr">
        <is>
          <t>Day 3</t>
        </is>
      </c>
      <c r="C11" s="3" t="inlineStr">
        <is>
          <t>KWS-10</t>
        </is>
      </c>
      <c r="D11" s="3" t="inlineStr">
        <is>
          <t>Delon</t>
        </is>
      </c>
      <c r="E11" s="3" t="inlineStr">
        <is>
          <t>2026-08-18</t>
        </is>
      </c>
      <c r="F11" s="3" t="inlineStr">
        <is>
          <t>21:09</t>
        </is>
      </c>
      <c r="G11" s="3" t="inlineStr">
        <is>
          <t>Jl. Jogja-Solo</t>
        </is>
      </c>
      <c r="H11" s="3" t="n">
        <v>5</v>
      </c>
      <c r="I11" s="3" t="n">
        <v>10</v>
      </c>
      <c r="J11" s="3" t="n">
        <v>0</v>
      </c>
      <c r="K11" s="3" t="n">
        <v>0</v>
      </c>
      <c r="L11" s="3" t="n">
        <v>1</v>
      </c>
      <c r="M11" s="3" t="n">
        <v>1</v>
      </c>
      <c r="N11" s="3" t="n">
        <v>0</v>
      </c>
      <c r="O11" s="3" t="n">
        <v>11</v>
      </c>
      <c r="P11" s="3" t="inlineStr">
        <is>
          <t>Sedang</t>
        </is>
      </c>
      <c r="Q11" s="3" t="inlineStr">
        <is>
          <t>-</t>
        </is>
      </c>
      <c r="R11" s="3" t="n">
        <v>4</v>
      </c>
      <c r="S11" s="3" t="n"/>
      <c r="T11" s="3" t="n">
        <v>28</v>
      </c>
    </row>
    <row r="12" ht="15" customHeight="1">
      <c r="A12" s="3" t="inlineStr">
        <is>
          <t>EKO-011</t>
        </is>
      </c>
      <c r="B12" s="3" t="inlineStr">
        <is>
          <t>Day 4</t>
        </is>
      </c>
      <c r="C12" s="3" t="inlineStr">
        <is>
          <t>KWS-01</t>
        </is>
      </c>
      <c r="D12" s="3" t="inlineStr">
        <is>
          <t>Andalan</t>
        </is>
      </c>
      <c r="E12" s="3" t="inlineStr">
        <is>
          <t>2026-08-24</t>
        </is>
      </c>
      <c r="F12" s="3" t="inlineStr">
        <is>
          <t>16:17</t>
        </is>
      </c>
      <c r="G12" s="3" t="inlineStr">
        <is>
          <t>Jl. Raya Janti</t>
        </is>
      </c>
      <c r="H12" s="3" t="n">
        <v>7</v>
      </c>
      <c r="I12" s="3" t="n">
        <v>12</v>
      </c>
      <c r="J12" s="3" t="n">
        <v>1</v>
      </c>
      <c r="K12" s="3" t="n">
        <v>3</v>
      </c>
      <c r="L12" s="3" t="n">
        <v>2</v>
      </c>
      <c r="M12" s="3" t="n">
        <v>3</v>
      </c>
      <c r="N12" s="3" t="n">
        <v>8</v>
      </c>
      <c r="O12" s="3" t="n">
        <v>13</v>
      </c>
      <c r="P12" s="3" t="inlineStr">
        <is>
          <t>Ramai</t>
        </is>
      </c>
      <c r="Q12" s="3" t="n"/>
      <c r="R12" s="3" t="n"/>
      <c r="S12" s="3" t="n"/>
      <c r="T12" s="3" t="n">
        <v>49</v>
      </c>
    </row>
    <row r="13" ht="15" customHeight="1">
      <c r="A13" s="3" t="inlineStr">
        <is>
          <t>EKO-012</t>
        </is>
      </c>
      <c r="B13" s="3" t="inlineStr">
        <is>
          <t>Day 4</t>
        </is>
      </c>
      <c r="C13" s="3" t="inlineStr">
        <is>
          <t>KWS-09</t>
        </is>
      </c>
      <c r="D13" s="3" t="inlineStr">
        <is>
          <t>Theo</t>
        </is>
      </c>
      <c r="E13" s="3" t="inlineStr">
        <is>
          <t>2026-08-24</t>
        </is>
      </c>
      <c r="F13" s="3" t="inlineStr">
        <is>
          <t>16:11</t>
        </is>
      </c>
      <c r="G13" s="3" t="inlineStr">
        <is>
          <t>Jl. Ringroad Barat</t>
        </is>
      </c>
      <c r="H13" s="3" t="n">
        <v>2</v>
      </c>
      <c r="I13" s="3" t="n">
        <v>4</v>
      </c>
      <c r="J13" s="3" t="n">
        <v>0</v>
      </c>
      <c r="K13" s="3" t="n">
        <v>0</v>
      </c>
      <c r="L13" s="3" t="n">
        <v>0</v>
      </c>
      <c r="M13" s="3" t="n">
        <v>1</v>
      </c>
      <c r="N13" s="3" t="n">
        <v>4</v>
      </c>
      <c r="O13" s="3" t="n">
        <v>8</v>
      </c>
      <c r="P13" s="3" t="inlineStr">
        <is>
          <t>Sedang</t>
        </is>
      </c>
      <c r="Q13" s="3" t="n"/>
      <c r="R13" s="3" t="n"/>
      <c r="S13" s="3" t="n"/>
      <c r="T13" s="3" t="n">
        <v>19</v>
      </c>
    </row>
  </sheetData>
  <autoFilter ref="A1:T13"/>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U32"/>
  <sheetViews>
    <sheetView topLeftCell="P1" zoomScaleNormal="100" workbookViewId="0">
      <pane ySplit="1" topLeftCell="A12" activePane="bottomLeft" state="frozen"/>
      <selection pane="bottomLeft" activeCell="A1" sqref="A1"/>
    </sheetView>
  </sheetViews>
  <sheetFormatPr baseColWidth="8" defaultColWidth="8.6640625" defaultRowHeight="14.4"/>
  <cols>
    <col width="10" customWidth="1" min="1" max="4"/>
    <col width="12" customWidth="1" min="5" max="5"/>
    <col width="10" customWidth="1" min="6" max="6"/>
    <col width="46" customWidth="1" min="7" max="7"/>
    <col width="10" customWidth="1" min="8" max="8"/>
    <col width="21" customWidth="1" min="9" max="9"/>
    <col width="46" customWidth="1" min="10" max="10"/>
    <col width="16" customWidth="1" min="11" max="11"/>
    <col width="14" customWidth="1" min="12" max="12"/>
    <col width="20" customWidth="1" min="13" max="14"/>
    <col width="21" customWidth="1" min="15" max="15"/>
    <col width="20" customWidth="1" min="16" max="16"/>
    <col width="17" customWidth="1" min="17" max="17"/>
    <col width="46" customWidth="1" min="18" max="18"/>
    <col width="19" customWidth="1" min="19" max="19"/>
    <col width="16" customWidth="1" min="20" max="20"/>
    <col width="17" customWidth="1" min="21" max="21"/>
  </cols>
  <sheetData>
    <row r="1" ht="30" customHeight="1">
      <c r="A1" s="1" t="inlineStr">
        <is>
          <t>ID</t>
        </is>
      </c>
      <c r="B1" s="1" t="inlineStr">
        <is>
          <t>Day</t>
        </is>
      </c>
      <c r="C1" s="1" t="inlineStr">
        <is>
          <t>Kawasan</t>
        </is>
      </c>
      <c r="D1" s="1" t="inlineStr">
        <is>
          <t>Pencatat</t>
        </is>
      </c>
      <c r="E1" s="1" t="inlineStr">
        <is>
          <t>Tanggal</t>
        </is>
      </c>
      <c r="F1" s="1" t="inlineStr">
        <is>
          <t>Jam</t>
        </is>
      </c>
      <c r="G1" s="1" t="inlineStr">
        <is>
          <t>Nama atau alamat kos</t>
        </is>
      </c>
      <c r="H1" s="1" t="inlineStr">
        <is>
          <t>Jenis</t>
        </is>
      </c>
      <c r="I1" s="1" t="inlineStr">
        <is>
          <t>Harga (teks asli)</t>
        </is>
      </c>
      <c r="J1" s="1" t="inlineStr">
        <is>
          <t>Listrik</t>
        </is>
      </c>
      <c r="K1" s="1" t="inlineStr">
        <is>
          <t>Kamar mandi</t>
        </is>
      </c>
      <c r="L1" s="1" t="inlineStr">
        <is>
          <t>Parkir motor</t>
        </is>
      </c>
      <c r="M1" s="1" t="inlineStr">
        <is>
          <t>Sumber harga</t>
        </is>
      </c>
      <c r="N1" s="1" t="inlineStr">
        <is>
          <t>Jarak ke halte (m)</t>
        </is>
      </c>
      <c r="O1" s="1" t="inlineStr">
        <is>
          <t>Jarak ke kampus (m)</t>
        </is>
      </c>
      <c r="P1" s="1" t="inlineStr">
        <is>
          <t>Ada spanduk (foto)</t>
        </is>
      </c>
      <c r="Q1" s="1" t="inlineStr">
        <is>
          <t>ID ruas terkait</t>
        </is>
      </c>
      <c r="R1" s="1" t="inlineStr">
        <is>
          <t>Catatan</t>
        </is>
      </c>
      <c r="S1" s="1" t="inlineStr">
        <is>
          <t>Harga median (Rp)</t>
        </is>
      </c>
      <c r="T1" s="1" t="inlineStr">
        <is>
          <t>Harga min (Rp)</t>
        </is>
      </c>
      <c r="U1" s="1" t="inlineStr">
        <is>
          <t>Harga maks (Rp)</t>
        </is>
      </c>
    </row>
    <row r="2" ht="15" customHeight="1">
      <c r="A2" s="3" t="inlineStr">
        <is>
          <t>KOS-001</t>
        </is>
      </c>
      <c r="B2" s="3" t="inlineStr">
        <is>
          <t>Day 1</t>
        </is>
      </c>
      <c r="C2" s="3" t="inlineStr">
        <is>
          <t>KWS-06</t>
        </is>
      </c>
      <c r="D2" s="3" t="inlineStr">
        <is>
          <t>Delon</t>
        </is>
      </c>
      <c r="E2" s="3" t="inlineStr">
        <is>
          <t>2026-08-16</t>
        </is>
      </c>
      <c r="F2" s="3" t="inlineStr">
        <is>
          <t>10:09</t>
        </is>
      </c>
      <c r="G2" s="3" t="inlineStr">
        <is>
          <t>Kos Nawangsari (Candisari, Jl. Kaliurang Km 13)</t>
        </is>
      </c>
      <c r="H2" s="3" t="inlineStr">
        <is>
          <t>Putri</t>
        </is>
      </c>
      <c r="I2" s="3" t="inlineStr">
        <is>
          <t>775rb/1.2jt</t>
        </is>
      </c>
      <c r="J2" s="3" t="inlineStr">
        <is>
          <t>Termasuk</t>
        </is>
      </c>
      <c r="K2" s="3" t="inlineStr">
        <is>
          <t>Dalam</t>
        </is>
      </c>
      <c r="L2" s="3" t="inlineStr">
        <is>
          <t>Ada</t>
        </is>
      </c>
      <c r="M2" s="3" t="inlineStr">
        <is>
          <t>Tanya pengelola</t>
        </is>
      </c>
      <c r="N2" s="3" t="n">
        <v>350</v>
      </c>
      <c r="O2" s="3" t="n">
        <v>2200</v>
      </c>
      <c r="P2" s="3" t="inlineStr">
        <is>
          <t>Ya</t>
        </is>
      </c>
      <c r="Q2" s="3" t="inlineStr">
        <is>
          <t>RUAS-002</t>
        </is>
      </c>
      <c r="R2" s="3" t="n"/>
      <c r="S2" s="3" t="n">
        <v>987500</v>
      </c>
      <c r="T2" s="3" t="n">
        <v>775000</v>
      </c>
      <c r="U2" s="3" t="n">
        <v>1200000</v>
      </c>
    </row>
    <row r="3" ht="15" customHeight="1">
      <c r="A3" s="3" t="inlineStr">
        <is>
          <t>KOS-002</t>
        </is>
      </c>
      <c r="B3" s="3" t="inlineStr">
        <is>
          <t>Day 1</t>
        </is>
      </c>
      <c r="C3" s="3" t="inlineStr">
        <is>
          <t>KWS-06</t>
        </is>
      </c>
      <c r="D3" s="3" t="inlineStr">
        <is>
          <t>Andalan</t>
        </is>
      </c>
      <c r="E3" s="3" t="inlineStr">
        <is>
          <t>2026-08-16</t>
        </is>
      </c>
      <c r="F3" s="3" t="inlineStr">
        <is>
          <t>10:15</t>
        </is>
      </c>
      <c r="G3" s="3" t="inlineStr">
        <is>
          <t>Kost Exsklusif Dahayu (Jl. Mendiro Raya)</t>
        </is>
      </c>
      <c r="H3" s="3" t="inlineStr">
        <is>
          <t>Putri</t>
        </is>
      </c>
      <c r="I3" s="3" t="inlineStr">
        <is>
          <t>1.2jt</t>
        </is>
      </c>
      <c r="J3" s="3" t="inlineStr">
        <is>
          <t>Token sendiri</t>
        </is>
      </c>
      <c r="K3" s="3" t="inlineStr">
        <is>
          <t>Dalam</t>
        </is>
      </c>
      <c r="L3" s="3" t="inlineStr">
        <is>
          <t>Ada</t>
        </is>
      </c>
      <c r="M3" s="3" t="inlineStr">
        <is>
          <t>Sosial media</t>
        </is>
      </c>
      <c r="N3" s="3" t="n">
        <v>1200</v>
      </c>
      <c r="O3" s="3" t="n">
        <v>2600</v>
      </c>
      <c r="P3" s="3" t="inlineStr">
        <is>
          <t>Ya</t>
        </is>
      </c>
      <c r="Q3" s="3" t="inlineStr">
        <is>
          <t>RUAS-003</t>
        </is>
      </c>
      <c r="R3" s="3" t="inlineStr">
        <is>
          <t>water heater, smart TV, wifi, kulkas, dapur bersama, kasur bantal guling  meja kursi</t>
        </is>
      </c>
      <c r="S3" s="3" t="n">
        <v>1200000</v>
      </c>
      <c r="T3" s="3" t="n">
        <v>1200000</v>
      </c>
      <c r="U3" s="3" t="n">
        <v>1200000</v>
      </c>
    </row>
    <row r="4" ht="15" customHeight="1">
      <c r="A4" s="3" t="inlineStr">
        <is>
          <t>KOS-003</t>
        </is>
      </c>
      <c r="B4" s="3" t="inlineStr">
        <is>
          <t>Day 1</t>
        </is>
      </c>
      <c r="C4" s="3" t="inlineStr">
        <is>
          <t>KWS-06</t>
        </is>
      </c>
      <c r="D4" s="3" t="inlineStr">
        <is>
          <t>Andalan</t>
        </is>
      </c>
      <c r="E4" s="3" t="inlineStr">
        <is>
          <t>2026-08-16</t>
        </is>
      </c>
      <c r="F4" s="3" t="inlineStr">
        <is>
          <t>10:20</t>
        </is>
      </c>
      <c r="G4" s="3" t="inlineStr">
        <is>
          <t xml:space="preserve">Kos Dio putri </t>
        </is>
      </c>
      <c r="H4" s="3" t="inlineStr">
        <is>
          <t>Putri</t>
        </is>
      </c>
      <c r="I4" s="3" t="inlineStr">
        <is>
          <t>850k-800k-800k</t>
        </is>
      </c>
      <c r="J4" s="3" t="inlineStr">
        <is>
          <t>Termasuk</t>
        </is>
      </c>
      <c r="K4" s="3" t="inlineStr">
        <is>
          <t>Dalam</t>
        </is>
      </c>
      <c r="L4" s="3" t="inlineStr">
        <is>
          <t>Ada</t>
        </is>
      </c>
      <c r="M4" s="3" t="inlineStr">
        <is>
          <t>Tanya pengelola</t>
        </is>
      </c>
      <c r="N4" s="3" t="n">
        <v>1250</v>
      </c>
      <c r="O4" s="3" t="n">
        <v>2650</v>
      </c>
      <c r="P4" s="3" t="inlineStr">
        <is>
          <t>Ya</t>
        </is>
      </c>
      <c r="Q4" s="3" t="inlineStr">
        <is>
          <t>RUAS-003</t>
        </is>
      </c>
      <c r="R4" s="3" t="n"/>
      <c r="S4" s="3" t="n">
        <v>800000</v>
      </c>
      <c r="T4" s="3" t="n">
        <v>800000</v>
      </c>
      <c r="U4" s="3" t="n">
        <v>850000</v>
      </c>
    </row>
    <row r="5" ht="15" customHeight="1">
      <c r="A5" s="3" t="inlineStr">
        <is>
          <t>KOS-004</t>
        </is>
      </c>
      <c r="B5" s="3" t="inlineStr">
        <is>
          <t>Day 1</t>
        </is>
      </c>
      <c r="C5" s="3" t="inlineStr">
        <is>
          <t>KWS-06</t>
        </is>
      </c>
      <c r="D5" s="3" t="inlineStr">
        <is>
          <t>Andalan</t>
        </is>
      </c>
      <c r="E5" s="3" t="inlineStr">
        <is>
          <t>2026-08-16</t>
        </is>
      </c>
      <c r="F5" s="3" t="inlineStr">
        <is>
          <t>10:57</t>
        </is>
      </c>
      <c r="G5" s="3" t="inlineStr">
        <is>
          <t>Kost Green Villa</t>
        </is>
      </c>
      <c r="H5" s="3" t="inlineStr">
        <is>
          <t>Putra</t>
        </is>
      </c>
      <c r="I5" s="3" t="inlineStr">
        <is>
          <t>600rb</t>
        </is>
      </c>
      <c r="J5" s="3" t="inlineStr">
        <is>
          <t>Termasuk</t>
        </is>
      </c>
      <c r="K5" s="3" t="inlineStr">
        <is>
          <t>Dalam</t>
        </is>
      </c>
      <c r="L5" s="3" t="inlineStr">
        <is>
          <t>Ada</t>
        </is>
      </c>
      <c r="M5" s="3" t="inlineStr">
        <is>
          <t>Tanya pengelola</t>
        </is>
      </c>
      <c r="N5" s="3" t="n">
        <v>300</v>
      </c>
      <c r="O5" s="3" t="n">
        <v>1700</v>
      </c>
      <c r="P5" s="3" t="inlineStr">
        <is>
          <t>Ya</t>
        </is>
      </c>
      <c r="Q5" s="3" t="inlineStr">
        <is>
          <t>RUAS-001</t>
        </is>
      </c>
      <c r="R5" s="3" t="inlineStr">
        <is>
          <t>Koordinat dikoreksi manual pemilik repo 2026-09-08: entri sebelumnya lat -7,4904 berada ~17 km di utara wilayah studi. Yang benar -7,701534, 110,415575.</t>
        </is>
      </c>
      <c r="S5" s="3" t="n">
        <v>600000</v>
      </c>
      <c r="T5" s="3" t="n">
        <v>600000</v>
      </c>
      <c r="U5" s="3" t="n">
        <v>600000</v>
      </c>
    </row>
    <row r="6" ht="15" customHeight="1">
      <c r="A6" s="3" t="inlineStr">
        <is>
          <t>KOS-005</t>
        </is>
      </c>
      <c r="B6" s="3" t="inlineStr">
        <is>
          <t>Day 1</t>
        </is>
      </c>
      <c r="C6" s="3" t="inlineStr">
        <is>
          <t>KWS-06</t>
        </is>
      </c>
      <c r="D6" s="3" t="inlineStr">
        <is>
          <t>Devon</t>
        </is>
      </c>
      <c r="E6" s="3" t="inlineStr">
        <is>
          <t>2026-08-16</t>
        </is>
      </c>
      <c r="F6" s="3" t="inlineStr">
        <is>
          <t>10:50</t>
        </is>
      </c>
      <c r="G6" s="3" t="inlineStr">
        <is>
          <t>Kost Putri Annisa</t>
        </is>
      </c>
      <c r="H6" s="3" t="inlineStr">
        <is>
          <t>Putri</t>
        </is>
      </c>
      <c r="I6" s="3" t="inlineStr">
        <is>
          <t>450rb/250rb</t>
        </is>
      </c>
      <c r="J6" s="3" t="inlineStr">
        <is>
          <t>Termasuk, bawa alat elektronik sendiri ada menambah</t>
        </is>
      </c>
      <c r="K6" s="3" t="inlineStr">
        <is>
          <t>Dalam dan Luar</t>
        </is>
      </c>
      <c r="L6" s="3" t="inlineStr">
        <is>
          <t>Ada</t>
        </is>
      </c>
      <c r="M6" s="3" t="inlineStr">
        <is>
          <t>Tanya pengelola</t>
        </is>
      </c>
      <c r="N6" s="3" t="n">
        <v>260</v>
      </c>
      <c r="O6" s="3" t="n">
        <v>1700</v>
      </c>
      <c r="P6" s="3" t="inlineStr">
        <is>
          <t>Ya</t>
        </is>
      </c>
      <c r="Q6" s="3" t="inlineStr">
        <is>
          <t>RUAS-001</t>
        </is>
      </c>
      <c r="R6" s="3" t="n"/>
      <c r="S6" s="3" t="n">
        <v>350000</v>
      </c>
      <c r="T6" s="3" t="n">
        <v>250000</v>
      </c>
      <c r="U6" s="3" t="n">
        <v>450000</v>
      </c>
    </row>
    <row r="7" ht="15" customHeight="1">
      <c r="A7" s="3" t="inlineStr">
        <is>
          <t>KOS-006</t>
        </is>
      </c>
      <c r="B7" s="3" t="inlineStr">
        <is>
          <t>Day 1</t>
        </is>
      </c>
      <c r="C7" s="3" t="inlineStr">
        <is>
          <t>KWS-06</t>
        </is>
      </c>
      <c r="D7" s="3" t="inlineStr">
        <is>
          <t>Andalan</t>
        </is>
      </c>
      <c r="E7" s="3" t="inlineStr">
        <is>
          <t>2026-08-16</t>
        </is>
      </c>
      <c r="F7" s="3" t="inlineStr">
        <is>
          <t>10:55</t>
        </is>
      </c>
      <c r="G7" s="3" t="inlineStr">
        <is>
          <t>Kost Putra Besi</t>
        </is>
      </c>
      <c r="H7" s="3" t="inlineStr">
        <is>
          <t>Putra</t>
        </is>
      </c>
      <c r="I7" s="3" t="inlineStr">
        <is>
          <t>550k</t>
        </is>
      </c>
      <c r="J7" s="3" t="inlineStr">
        <is>
          <t>Termasuk</t>
        </is>
      </c>
      <c r="K7" s="3" t="inlineStr">
        <is>
          <t>Dalam</t>
        </is>
      </c>
      <c r="L7" s="3" t="inlineStr">
        <is>
          <t>Ada</t>
        </is>
      </c>
      <c r="M7" s="3" t="inlineStr">
        <is>
          <t>Spanduk atau papan</t>
        </is>
      </c>
      <c r="N7" s="3" t="n">
        <v>250</v>
      </c>
      <c r="O7" s="3" t="n">
        <v>2100</v>
      </c>
      <c r="P7" s="3" t="inlineStr">
        <is>
          <t>Ya</t>
        </is>
      </c>
      <c r="Q7" s="3" t="inlineStr">
        <is>
          <t>RUAS-001</t>
        </is>
      </c>
      <c r="R7" s="3" t="n"/>
      <c r="S7" s="3" t="n">
        <v>550000</v>
      </c>
      <c r="T7" s="3" t="n">
        <v>550000</v>
      </c>
      <c r="U7" s="3" t="n">
        <v>550000</v>
      </c>
    </row>
    <row r="8" ht="15" customHeight="1">
      <c r="A8" s="3" t="inlineStr">
        <is>
          <t>KOS-007</t>
        </is>
      </c>
      <c r="B8" s="3" t="inlineStr">
        <is>
          <t>Day 1</t>
        </is>
      </c>
      <c r="C8" s="3" t="inlineStr">
        <is>
          <t>KWS-06</t>
        </is>
      </c>
      <c r="D8" s="3" t="inlineStr">
        <is>
          <t>Devon</t>
        </is>
      </c>
      <c r="E8" s="3" t="inlineStr">
        <is>
          <t>2026-08-16</t>
        </is>
      </c>
      <c r="F8" s="3" t="inlineStr">
        <is>
          <t>13:53</t>
        </is>
      </c>
      <c r="G8" s="3" t="inlineStr">
        <is>
          <t>Kost Putra SANTOSO</t>
        </is>
      </c>
      <c r="H8" s="3" t="inlineStr">
        <is>
          <t>Putra</t>
        </is>
      </c>
      <c r="I8" s="3" t="inlineStr">
        <is>
          <t>500rb/750rb</t>
        </is>
      </c>
      <c r="J8" s="3" t="inlineStr">
        <is>
          <t>Termasuk</t>
        </is>
      </c>
      <c r="K8" s="3" t="inlineStr">
        <is>
          <t>Dalam dan Luar</t>
        </is>
      </c>
      <c r="L8" s="3" t="inlineStr">
        <is>
          <t>Ada</t>
        </is>
      </c>
      <c r="M8" s="3" t="inlineStr">
        <is>
          <t>Sosial media</t>
        </is>
      </c>
      <c r="N8" s="3" t="n">
        <v>10</v>
      </c>
      <c r="O8" s="3" t="n">
        <v>1400</v>
      </c>
      <c r="P8" s="3" t="inlineStr">
        <is>
          <t>Ya</t>
        </is>
      </c>
      <c r="Q8" s="3" t="inlineStr">
        <is>
          <t>RUAS-007</t>
        </is>
      </c>
      <c r="R8" s="3" t="n"/>
      <c r="S8" s="3" t="n">
        <v>625000</v>
      </c>
      <c r="T8" s="3" t="n">
        <v>500000</v>
      </c>
      <c r="U8" s="3" t="n">
        <v>750000</v>
      </c>
    </row>
    <row r="9" ht="15" customHeight="1">
      <c r="A9" s="3" t="inlineStr">
        <is>
          <t>KOS-008</t>
        </is>
      </c>
      <c r="B9" s="3" t="inlineStr">
        <is>
          <t>Day 1</t>
        </is>
      </c>
      <c r="C9" s="3" t="inlineStr">
        <is>
          <t>KWS-11</t>
        </is>
      </c>
      <c r="D9" s="3" t="inlineStr">
        <is>
          <t>Andalan</t>
        </is>
      </c>
      <c r="E9" s="3" t="inlineStr">
        <is>
          <t>2026-08-16</t>
        </is>
      </c>
      <c r="F9" s="3" t="inlineStr">
        <is>
          <t>15:30</t>
        </is>
      </c>
      <c r="G9" s="3" t="inlineStr">
        <is>
          <t>Kost Putri Vidagarin</t>
        </is>
      </c>
      <c r="H9" s="3" t="inlineStr">
        <is>
          <t>Putri</t>
        </is>
      </c>
      <c r="I9" s="3" t="n">
        <v>1400000</v>
      </c>
      <c r="J9" s="3" t="inlineStr">
        <is>
          <t>Termasuk</t>
        </is>
      </c>
      <c r="K9" s="3" t="inlineStr">
        <is>
          <t>Dalam</t>
        </is>
      </c>
      <c r="L9" s="3" t="inlineStr">
        <is>
          <t>Ada</t>
        </is>
      </c>
      <c r="M9" s="3" t="inlineStr">
        <is>
          <t>Tanya penghuni</t>
        </is>
      </c>
      <c r="N9" s="3" t="n">
        <v>90</v>
      </c>
      <c r="O9" s="3" t="n">
        <v>3000</v>
      </c>
      <c r="P9" s="3" t="inlineStr">
        <is>
          <t>Tidak</t>
        </is>
      </c>
      <c r="Q9" s="3" t="inlineStr">
        <is>
          <t>RUAS-008</t>
        </is>
      </c>
      <c r="R9" s="3" t="n"/>
      <c r="S9" s="3" t="n">
        <v>1400000</v>
      </c>
      <c r="T9" s="3" t="n">
        <v>1400000</v>
      </c>
      <c r="U9" s="3" t="n">
        <v>1400000</v>
      </c>
    </row>
    <row r="10" ht="15" customHeight="1">
      <c r="A10" s="3" t="inlineStr">
        <is>
          <t>KOS-009</t>
        </is>
      </c>
      <c r="B10" s="3" t="inlineStr">
        <is>
          <t>Day 1</t>
        </is>
      </c>
      <c r="C10" s="3" t="inlineStr">
        <is>
          <t>KWS-11</t>
        </is>
      </c>
      <c r="D10" s="3" t="inlineStr">
        <is>
          <t>Theo</t>
        </is>
      </c>
      <c r="E10" s="3" t="inlineStr">
        <is>
          <t>2026-08-16</t>
        </is>
      </c>
      <c r="F10" s="3" t="inlineStr">
        <is>
          <t>16:17</t>
        </is>
      </c>
      <c r="G10" s="3" t="inlineStr">
        <is>
          <t>Kost Putri Regulo 68</t>
        </is>
      </c>
      <c r="H10" s="3" t="inlineStr">
        <is>
          <t>Putri</t>
        </is>
      </c>
      <c r="I10" s="3" t="inlineStr">
        <is>
          <t xml:space="preserve">1jt-1,8jt perbulan </t>
        </is>
      </c>
      <c r="J10" s="3" t="inlineStr">
        <is>
          <t>Termasuk</t>
        </is>
      </c>
      <c r="K10" s="3" t="inlineStr">
        <is>
          <t>Dalam</t>
        </is>
      </c>
      <c r="L10" s="3" t="inlineStr">
        <is>
          <t>Ada</t>
        </is>
      </c>
      <c r="M10" s="3" t="inlineStr">
        <is>
          <t>Sosial media</t>
        </is>
      </c>
      <c r="N10" s="3" t="n">
        <v>70</v>
      </c>
      <c r="O10" s="3" t="n">
        <v>2800</v>
      </c>
      <c r="P10" s="3" t="inlineStr">
        <is>
          <t>Ya</t>
        </is>
      </c>
      <c r="Q10" s="3" t="inlineStr">
        <is>
          <t>RUAS-011</t>
        </is>
      </c>
      <c r="R10" s="3" t="n"/>
      <c r="S10" s="3" t="n">
        <v>1400000</v>
      </c>
      <c r="T10" s="3" t="n">
        <v>1000000</v>
      </c>
      <c r="U10" s="3" t="n">
        <v>1800000</v>
      </c>
    </row>
    <row r="11" ht="15" customHeight="1">
      <c r="A11" s="3" t="inlineStr">
        <is>
          <t>KOS-010</t>
        </is>
      </c>
      <c r="B11" s="3" t="inlineStr">
        <is>
          <t>Day 1</t>
        </is>
      </c>
      <c r="C11" s="3" t="inlineStr">
        <is>
          <t>KWS-04</t>
        </is>
      </c>
      <c r="D11" s="3" t="inlineStr">
        <is>
          <t>Devon</t>
        </is>
      </c>
      <c r="E11" s="3" t="inlineStr">
        <is>
          <t>2026-08-16</t>
        </is>
      </c>
      <c r="F11" s="3" t="inlineStr">
        <is>
          <t>17:38</t>
        </is>
      </c>
      <c r="G11" s="3" t="inlineStr">
        <is>
          <t>kos pondok durian</t>
        </is>
      </c>
      <c r="H11" s="3" t="inlineStr">
        <is>
          <t>Campur</t>
        </is>
      </c>
      <c r="I11" s="3" t="inlineStr">
        <is>
          <t>1.2jt</t>
        </is>
      </c>
      <c r="J11" s="3" t="inlineStr">
        <is>
          <t>Token sendiri</t>
        </is>
      </c>
      <c r="K11" s="3" t="inlineStr">
        <is>
          <t>Dalam</t>
        </is>
      </c>
      <c r="L11" s="3" t="inlineStr">
        <is>
          <t>Ada</t>
        </is>
      </c>
      <c r="M11" s="3" t="inlineStr">
        <is>
          <t>Tanya pengelola</t>
        </is>
      </c>
      <c r="N11" s="3" t="n">
        <v>210</v>
      </c>
      <c r="O11" s="3" t="n">
        <v>2000</v>
      </c>
      <c r="P11" s="3" t="inlineStr">
        <is>
          <t>Ya</t>
        </is>
      </c>
      <c r="Q11" s="3" t="inlineStr">
        <is>
          <t>RUAS-012</t>
        </is>
      </c>
      <c r="R11" s="3" t="n"/>
      <c r="S11" s="3" t="n">
        <v>1200000</v>
      </c>
      <c r="T11" s="3" t="n">
        <v>1200000</v>
      </c>
      <c r="U11" s="3" t="n">
        <v>1200000</v>
      </c>
    </row>
    <row r="12" ht="15" customHeight="1">
      <c r="A12" s="3" t="inlineStr">
        <is>
          <t>KOS-011</t>
        </is>
      </c>
      <c r="B12" s="3" t="inlineStr">
        <is>
          <t>Day 1</t>
        </is>
      </c>
      <c r="C12" s="3" t="inlineStr">
        <is>
          <t>KWS-04</t>
        </is>
      </c>
      <c r="D12" s="3" t="inlineStr">
        <is>
          <t>Devon</t>
        </is>
      </c>
      <c r="E12" s="3" t="inlineStr">
        <is>
          <t>2026-08-16</t>
        </is>
      </c>
      <c r="F12" s="3" t="inlineStr">
        <is>
          <t>17:54</t>
        </is>
      </c>
      <c r="G12" s="3" t="inlineStr">
        <is>
          <t>Kos Vi-three</t>
        </is>
      </c>
      <c r="H12" s="3" t="inlineStr">
        <is>
          <t>Putra</t>
        </is>
      </c>
      <c r="I12" s="3" t="inlineStr">
        <is>
          <t>650rb/900rb</t>
        </is>
      </c>
      <c r="J12" s="3" t="inlineStr">
        <is>
          <t>Token sendiri</t>
        </is>
      </c>
      <c r="K12" s="3" t="inlineStr">
        <is>
          <t>Dalam</t>
        </is>
      </c>
      <c r="L12" s="3" t="inlineStr">
        <is>
          <t>Ada</t>
        </is>
      </c>
      <c r="M12" s="3" t="inlineStr">
        <is>
          <t>Sosial media</t>
        </is>
      </c>
      <c r="N12" s="3" t="n">
        <v>220</v>
      </c>
      <c r="O12" s="3" t="n">
        <v>2000</v>
      </c>
      <c r="P12" s="3" t="inlineStr">
        <is>
          <t>Tidak</t>
        </is>
      </c>
      <c r="Q12" s="3" t="inlineStr">
        <is>
          <t>RUAS-012</t>
        </is>
      </c>
      <c r="R12" s="3" t="n"/>
      <c r="S12" s="3" t="n">
        <v>775000</v>
      </c>
      <c r="T12" s="3" t="n">
        <v>650000</v>
      </c>
      <c r="U12" s="3" t="n">
        <v>900000</v>
      </c>
    </row>
    <row r="13" ht="15" customHeight="1">
      <c r="A13" s="3" t="inlineStr">
        <is>
          <t>KOS-012</t>
        </is>
      </c>
      <c r="B13" s="3" t="inlineStr">
        <is>
          <t>Day 2</t>
        </is>
      </c>
      <c r="C13" s="3" t="inlineStr">
        <is>
          <t>KWS-07</t>
        </is>
      </c>
      <c r="D13" s="3" t="inlineStr">
        <is>
          <t>Andalan</t>
        </is>
      </c>
      <c r="E13" s="3" t="inlineStr">
        <is>
          <t>2026-08-17</t>
        </is>
      </c>
      <c r="F13" s="3" t="inlineStr">
        <is>
          <t>08:33</t>
        </is>
      </c>
      <c r="G13" s="3" t="inlineStr">
        <is>
          <t>Kost Exclusive Rukita</t>
        </is>
      </c>
      <c r="H13" s="3" t="inlineStr">
        <is>
          <t>Putri</t>
        </is>
      </c>
      <c r="I13" s="3" t="inlineStr">
        <is>
          <t>850rb-1,45jt</t>
        </is>
      </c>
      <c r="J13" s="3" t="inlineStr">
        <is>
          <t>Token sendiri</t>
        </is>
      </c>
      <c r="K13" s="3" t="inlineStr">
        <is>
          <t>Dalam</t>
        </is>
      </c>
      <c r="L13" s="3" t="inlineStr">
        <is>
          <t>Ada</t>
        </is>
      </c>
      <c r="M13" s="3" t="inlineStr">
        <is>
          <t>Sosial media</t>
        </is>
      </c>
      <c r="N13" s="3" t="n">
        <v>20</v>
      </c>
      <c r="O13" s="3" t="n">
        <v>1400</v>
      </c>
      <c r="P13" s="3" t="inlineStr">
        <is>
          <t>Ya</t>
        </is>
      </c>
      <c r="Q13" s="3" t="inlineStr">
        <is>
          <t>RUAS-022</t>
        </is>
      </c>
      <c r="R13" s="3" t="n"/>
      <c r="S13" s="3" t="n">
        <v>1150000</v>
      </c>
      <c r="T13" s="3" t="n">
        <v>850000</v>
      </c>
      <c r="U13" s="3" t="n">
        <v>1450000</v>
      </c>
    </row>
    <row r="14" ht="15" customHeight="1">
      <c r="A14" s="3" t="inlineStr">
        <is>
          <t>KOS-013</t>
        </is>
      </c>
      <c r="B14" s="3" t="inlineStr">
        <is>
          <t>Day 2</t>
        </is>
      </c>
      <c r="C14" s="3" t="inlineStr">
        <is>
          <t>KWS-08</t>
        </is>
      </c>
      <c r="D14" s="3" t="inlineStr">
        <is>
          <t>Devon</t>
        </is>
      </c>
      <c r="E14" s="3" t="inlineStr">
        <is>
          <t>2026-08-17</t>
        </is>
      </c>
      <c r="F14" s="3" t="inlineStr">
        <is>
          <t>10:19</t>
        </is>
      </c>
      <c r="G14" s="3" t="inlineStr">
        <is>
          <t>Kos Isvara</t>
        </is>
      </c>
      <c r="H14" s="3" t="inlineStr">
        <is>
          <t>Putri</t>
        </is>
      </c>
      <c r="I14" s="3" t="inlineStr">
        <is>
          <t>1jt</t>
        </is>
      </c>
      <c r="J14" s="3" t="inlineStr">
        <is>
          <t>Token sendiri</t>
        </is>
      </c>
      <c r="K14" s="3" t="inlineStr">
        <is>
          <t>Dalam</t>
        </is>
      </c>
      <c r="L14" s="3" t="inlineStr">
        <is>
          <t>Ada</t>
        </is>
      </c>
      <c r="M14" s="3" t="inlineStr">
        <is>
          <t>Sosial media</t>
        </is>
      </c>
      <c r="N14" s="3" t="n">
        <v>120</v>
      </c>
      <c r="O14" s="3" t="n">
        <v>2400</v>
      </c>
      <c r="P14" s="3" t="inlineStr">
        <is>
          <t>Tidak</t>
        </is>
      </c>
      <c r="Q14" s="3" t="inlineStr">
        <is>
          <t>RUAS-029</t>
        </is>
      </c>
      <c r="R14" s="3" t="inlineStr">
        <is>
          <t>AC, water heater, wifi, dispenser kulkas dan dapur bersama, AC, Kasur bantal guling seprei sudah termasuk.</t>
        </is>
      </c>
      <c r="S14" s="3" t="n">
        <v>1000000</v>
      </c>
      <c r="T14" s="3" t="n">
        <v>1000000</v>
      </c>
      <c r="U14" s="3" t="n">
        <v>1000000</v>
      </c>
    </row>
    <row r="15" ht="15" customHeight="1">
      <c r="A15" s="3" t="inlineStr">
        <is>
          <t>KOS-014</t>
        </is>
      </c>
      <c r="B15" s="3" t="inlineStr">
        <is>
          <t>Day 2</t>
        </is>
      </c>
      <c r="C15" s="3" t="inlineStr">
        <is>
          <t>KWS-08</t>
        </is>
      </c>
      <c r="D15" s="3" t="inlineStr">
        <is>
          <t>Devon</t>
        </is>
      </c>
      <c r="E15" s="3" t="inlineStr">
        <is>
          <t>2026-08-17</t>
        </is>
      </c>
      <c r="F15" s="3" t="inlineStr">
        <is>
          <t>10:34</t>
        </is>
      </c>
      <c r="G15" s="3" t="inlineStr">
        <is>
          <t>Kos Aydin</t>
        </is>
      </c>
      <c r="H15" s="3" t="inlineStr">
        <is>
          <t>Putra</t>
        </is>
      </c>
      <c r="I15" s="3" t="inlineStr">
        <is>
          <t>1.35jt</t>
        </is>
      </c>
      <c r="J15" s="3" t="inlineStr">
        <is>
          <t>Token sendiri</t>
        </is>
      </c>
      <c r="K15" s="3" t="inlineStr">
        <is>
          <t>Dalam</t>
        </is>
      </c>
      <c r="L15" s="3" t="inlineStr">
        <is>
          <t>Ada</t>
        </is>
      </c>
      <c r="M15" s="3" t="inlineStr">
        <is>
          <t>Sosial media</t>
        </is>
      </c>
      <c r="N15" s="3" t="n">
        <v>80</v>
      </c>
      <c r="O15" s="3" t="n">
        <v>2200</v>
      </c>
      <c r="P15" s="3" t="inlineStr">
        <is>
          <t>Ya</t>
        </is>
      </c>
      <c r="Q15" s="3" t="inlineStr">
        <is>
          <t>RUAS-029</t>
        </is>
      </c>
      <c r="R15" s="3" t="inlineStr">
        <is>
          <t>Dapur bersama, spring bed meja kursi lemari disediakan di kamar, AC</t>
        </is>
      </c>
      <c r="S15" s="3" t="n">
        <v>1350000</v>
      </c>
      <c r="T15" s="3" t="n">
        <v>1350000</v>
      </c>
      <c r="U15" s="3" t="n">
        <v>1350000</v>
      </c>
    </row>
    <row r="16" ht="15" customHeight="1">
      <c r="A16" s="3" t="inlineStr">
        <is>
          <t>KOS-015</t>
        </is>
      </c>
      <c r="B16" s="3" t="inlineStr">
        <is>
          <t>Day 2</t>
        </is>
      </c>
      <c r="C16" s="3" t="inlineStr">
        <is>
          <t>KWS-08</t>
        </is>
      </c>
      <c r="D16" s="3" t="inlineStr">
        <is>
          <t>Devon</t>
        </is>
      </c>
      <c r="E16" s="3" t="inlineStr">
        <is>
          <t>2026-08-17</t>
        </is>
      </c>
      <c r="F16" s="3" t="inlineStr">
        <is>
          <t>11:21</t>
        </is>
      </c>
      <c r="G16" s="3" t="inlineStr">
        <is>
          <t>Kos Elisa Putri</t>
        </is>
      </c>
      <c r="H16" s="3" t="inlineStr">
        <is>
          <t>Putri</t>
        </is>
      </c>
      <c r="I16" s="3" t="inlineStr">
        <is>
          <t>600rb/550rb</t>
        </is>
      </c>
      <c r="J16" s="3" t="inlineStr">
        <is>
          <t>Termasuk</t>
        </is>
      </c>
      <c r="K16" s="3" t="inlineStr">
        <is>
          <t>Dalam</t>
        </is>
      </c>
      <c r="L16" s="3" t="inlineStr">
        <is>
          <t>Ada</t>
        </is>
      </c>
      <c r="M16" s="3" t="inlineStr">
        <is>
          <t>Tanya pengelola</t>
        </is>
      </c>
      <c r="N16" s="3" t="n">
        <v>220</v>
      </c>
      <c r="O16" s="3" t="n">
        <v>2200</v>
      </c>
      <c r="P16" s="3" t="inlineStr">
        <is>
          <t>Tidak</t>
        </is>
      </c>
      <c r="Q16" s="3" t="inlineStr">
        <is>
          <t>RUAS-028</t>
        </is>
      </c>
      <c r="R16" s="3" t="inlineStr">
        <is>
          <t>600rb untuk yang sudah include kasur dan lemari. Kosongan saja 550rb. Tidak ada wifi</t>
        </is>
      </c>
      <c r="S16" s="3" t="n">
        <v>575000</v>
      </c>
      <c r="T16" s="3" t="n">
        <v>550000</v>
      </c>
      <c r="U16" s="3" t="n">
        <v>600000</v>
      </c>
    </row>
    <row r="17" ht="15" customHeight="1">
      <c r="A17" s="3" t="inlineStr">
        <is>
          <t>KOS-016</t>
        </is>
      </c>
      <c r="B17" s="3" t="inlineStr">
        <is>
          <t>Day 2</t>
        </is>
      </c>
      <c r="C17" s="3" t="inlineStr">
        <is>
          <t>KWS-03</t>
        </is>
      </c>
      <c r="D17" s="3" t="inlineStr">
        <is>
          <t>Andalan</t>
        </is>
      </c>
      <c r="E17" s="3" t="inlineStr">
        <is>
          <t>2026-08-17</t>
        </is>
      </c>
      <c r="F17" s="3" t="inlineStr">
        <is>
          <t>11:47</t>
        </is>
      </c>
      <c r="G17" s="3" t="inlineStr">
        <is>
          <t>Kost Nakula</t>
        </is>
      </c>
      <c r="H17" s="3" t="inlineStr">
        <is>
          <t>Putri</t>
        </is>
      </c>
      <c r="I17" s="3" t="inlineStr">
        <is>
          <t>700rb-900rb</t>
        </is>
      </c>
      <c r="J17" s="3" t="inlineStr">
        <is>
          <t>Termasuk</t>
        </is>
      </c>
      <c r="K17" s="3" t="inlineStr">
        <is>
          <t>Dalam</t>
        </is>
      </c>
      <c r="L17" s="3" t="inlineStr">
        <is>
          <t>Ada</t>
        </is>
      </c>
      <c r="M17" s="3" t="inlineStr">
        <is>
          <t>Tanya pengelola</t>
        </is>
      </c>
      <c r="N17" s="3" t="n">
        <v>30</v>
      </c>
      <c r="O17" s="3" t="n">
        <v>30</v>
      </c>
      <c r="P17" s="3" t="inlineStr">
        <is>
          <t>Tidak</t>
        </is>
      </c>
      <c r="Q17" s="3" t="inlineStr">
        <is>
          <t>RUAS-030</t>
        </is>
      </c>
      <c r="R17" s="3" t="n"/>
      <c r="S17" s="3" t="n">
        <v>800000</v>
      </c>
      <c r="T17" s="3" t="n">
        <v>700000</v>
      </c>
      <c r="U17" s="3" t="n">
        <v>900000</v>
      </c>
    </row>
    <row r="18" ht="15" customHeight="1">
      <c r="A18" s="3" t="inlineStr">
        <is>
          <t>KOS-017</t>
        </is>
      </c>
      <c r="B18" s="3" t="inlineStr">
        <is>
          <t>Day 2</t>
        </is>
      </c>
      <c r="C18" s="3" t="inlineStr">
        <is>
          <t>KWS-12</t>
        </is>
      </c>
      <c r="D18" s="3" t="inlineStr">
        <is>
          <t>Devon</t>
        </is>
      </c>
      <c r="E18" s="3" t="inlineStr">
        <is>
          <t>2026-08-17</t>
        </is>
      </c>
      <c r="F18" s="3" t="inlineStr">
        <is>
          <t>12:10</t>
        </is>
      </c>
      <c r="G18" s="3" t="inlineStr">
        <is>
          <t>Kos putri erry</t>
        </is>
      </c>
      <c r="H18" s="3" t="inlineStr">
        <is>
          <t>Putri</t>
        </is>
      </c>
      <c r="I18" s="3" t="inlineStr">
        <is>
          <t>500rb</t>
        </is>
      </c>
      <c r="J18" s="3" t="inlineStr">
        <is>
          <t>Termasuk</t>
        </is>
      </c>
      <c r="K18" s="3" t="inlineStr">
        <is>
          <t>Luar</t>
        </is>
      </c>
      <c r="L18" s="3" t="inlineStr">
        <is>
          <t>Ada</t>
        </is>
      </c>
      <c r="M18" s="3" t="inlineStr">
        <is>
          <t>Tanya pengelola</t>
        </is>
      </c>
      <c r="N18" s="3" t="n">
        <v>60</v>
      </c>
      <c r="O18" s="3" t="n">
        <v>4400</v>
      </c>
      <c r="P18" s="3" t="inlineStr">
        <is>
          <t>Ya</t>
        </is>
      </c>
      <c r="Q18" s="3" t="inlineStr">
        <is>
          <t>RUAS-040</t>
        </is>
      </c>
      <c r="R18" s="3" t="n"/>
      <c r="S18" s="3" t="n">
        <v>500000</v>
      </c>
      <c r="T18" s="3" t="n">
        <v>500000</v>
      </c>
      <c r="U18" s="3" t="n">
        <v>500000</v>
      </c>
    </row>
    <row r="19" ht="15" customHeight="1">
      <c r="A19" s="3" t="inlineStr">
        <is>
          <t>KOS-018</t>
        </is>
      </c>
      <c r="B19" s="3" t="inlineStr">
        <is>
          <t>Day 2</t>
        </is>
      </c>
      <c r="C19" s="3" t="inlineStr">
        <is>
          <t>KWS-12</t>
        </is>
      </c>
      <c r="D19" s="3" t="inlineStr">
        <is>
          <t>Devon</t>
        </is>
      </c>
      <c r="E19" s="3" t="inlineStr">
        <is>
          <t>2026-08-17</t>
        </is>
      </c>
      <c r="F19" s="3" t="inlineStr">
        <is>
          <t>12:21</t>
        </is>
      </c>
      <c r="G19" s="3" t="inlineStr">
        <is>
          <t>Kost Bu Moyo</t>
        </is>
      </c>
      <c r="H19" s="3" t="inlineStr">
        <is>
          <t>Putri</t>
        </is>
      </c>
      <c r="I19" s="3" t="inlineStr">
        <is>
          <t>750000</t>
        </is>
      </c>
      <c r="J19" s="3" t="inlineStr">
        <is>
          <t>Termasuk</t>
        </is>
      </c>
      <c r="K19" s="3" t="inlineStr">
        <is>
          <t>Luar</t>
        </is>
      </c>
      <c r="L19" s="3" t="inlineStr">
        <is>
          <t>Ada</t>
        </is>
      </c>
      <c r="M19" s="3" t="inlineStr">
        <is>
          <t>Tanya pengelola</t>
        </is>
      </c>
      <c r="N19" s="3" t="n">
        <v>60</v>
      </c>
      <c r="O19" s="3" t="n">
        <v>4300</v>
      </c>
      <c r="P19" s="3" t="inlineStr">
        <is>
          <t>Ya</t>
        </is>
      </c>
      <c r="Q19" s="3" t="inlineStr">
        <is>
          <t>RUAS-040</t>
        </is>
      </c>
      <c r="R19" s="3" t="inlineStr">
        <is>
          <t>Kos cadangan pengganti 'Kos putri Wisma Bharata'. Harga 750.000 dikonfirmasi pemilik repo; min/maks lama milik Wisma Bharata dikosongkan. Koordinat diisi manual 2026-09-08.</t>
        </is>
      </c>
      <c r="S19" s="3" t="n">
        <v>750000</v>
      </c>
      <c r="T19" s="3" t="n"/>
      <c r="U19" s="3" t="n"/>
    </row>
    <row r="20" ht="15" customHeight="1">
      <c r="A20" s="3" t="inlineStr">
        <is>
          <t>KOS-019</t>
        </is>
      </c>
      <c r="B20" s="3" t="inlineStr">
        <is>
          <t>Day 2</t>
        </is>
      </c>
      <c r="C20" s="3" t="inlineStr">
        <is>
          <t>KWS-03</t>
        </is>
      </c>
      <c r="D20" s="3" t="inlineStr">
        <is>
          <t>Andalan</t>
        </is>
      </c>
      <c r="E20" s="3" t="inlineStr">
        <is>
          <t>2026-08-17</t>
        </is>
      </c>
      <c r="F20" s="3" t="inlineStr">
        <is>
          <t>13:03</t>
        </is>
      </c>
      <c r="G20" s="3" t="inlineStr">
        <is>
          <t>Kost Putra Flamboyan</t>
        </is>
      </c>
      <c r="H20" s="3" t="inlineStr">
        <is>
          <t>Putra</t>
        </is>
      </c>
      <c r="I20" s="3" t="inlineStr">
        <is>
          <t>700rb</t>
        </is>
      </c>
      <c r="J20" s="3" t="inlineStr">
        <is>
          <t>Termasuk</t>
        </is>
      </c>
      <c r="K20" s="3" t="inlineStr">
        <is>
          <t>Dalam</t>
        </is>
      </c>
      <c r="L20" s="3" t="inlineStr">
        <is>
          <t>Ada</t>
        </is>
      </c>
      <c r="M20" s="3" t="inlineStr">
        <is>
          <t>Spanduk atau papan</t>
        </is>
      </c>
      <c r="N20" s="3" t="n">
        <v>150</v>
      </c>
      <c r="O20" s="3" t="n">
        <v>170</v>
      </c>
      <c r="P20" s="3" t="inlineStr">
        <is>
          <t>Ya</t>
        </is>
      </c>
      <c r="Q20" s="3" t="inlineStr">
        <is>
          <t>RUAS-034</t>
        </is>
      </c>
      <c r="R20" s="3" t="n"/>
      <c r="S20" s="3" t="n">
        <v>700000</v>
      </c>
      <c r="T20" s="3" t="n">
        <v>700000</v>
      </c>
      <c r="U20" s="3" t="n">
        <v>700000</v>
      </c>
    </row>
    <row r="21" ht="15" customHeight="1">
      <c r="A21" s="3" t="inlineStr">
        <is>
          <t>KOS-020</t>
        </is>
      </c>
      <c r="B21" s="3" t="inlineStr">
        <is>
          <t>Day 2</t>
        </is>
      </c>
      <c r="C21" s="3" t="inlineStr">
        <is>
          <t>KWS-05</t>
        </is>
      </c>
      <c r="D21" s="3" t="inlineStr">
        <is>
          <t>Andalan</t>
        </is>
      </c>
      <c r="E21" s="3" t="inlineStr">
        <is>
          <t>2026-08-17</t>
        </is>
      </c>
      <c r="F21" s="3" t="inlineStr">
        <is>
          <t>14:26</t>
        </is>
      </c>
      <c r="G21" s="3" t="inlineStr">
        <is>
          <t>Kost Ibu Suratmi Suroso</t>
        </is>
      </c>
      <c r="H21" s="3" t="inlineStr">
        <is>
          <t>Putra</t>
        </is>
      </c>
      <c r="I21" s="3" t="inlineStr">
        <is>
          <t>500rb-600rb</t>
        </is>
      </c>
      <c r="J21" s="3" t="inlineStr">
        <is>
          <t>Termasuk</t>
        </is>
      </c>
      <c r="K21" s="3" t="inlineStr">
        <is>
          <t>Luar</t>
        </is>
      </c>
      <c r="L21" s="3" t="inlineStr">
        <is>
          <t>Ada</t>
        </is>
      </c>
      <c r="M21" s="3" t="inlineStr">
        <is>
          <t>Tanya pengelola</t>
        </is>
      </c>
      <c r="N21" s="3" t="n">
        <v>500</v>
      </c>
      <c r="O21" s="3" t="n">
        <v>3000</v>
      </c>
      <c r="P21" s="3" t="inlineStr">
        <is>
          <t>Ya</t>
        </is>
      </c>
      <c r="Q21" s="3" t="n"/>
      <c r="R21" s="3" t="n"/>
      <c r="S21" s="3" t="n">
        <v>550000</v>
      </c>
      <c r="T21" s="3" t="n">
        <v>500000</v>
      </c>
      <c r="U21" s="3" t="n">
        <v>600000</v>
      </c>
    </row>
    <row r="22" ht="15" customHeight="1">
      <c r="A22" s="3" t="inlineStr">
        <is>
          <t>KOS-021</t>
        </is>
      </c>
      <c r="B22" s="3" t="inlineStr">
        <is>
          <t>Day 2</t>
        </is>
      </c>
      <c r="C22" s="3" t="inlineStr">
        <is>
          <t>KWS-02</t>
        </is>
      </c>
      <c r="D22" s="3" t="inlineStr">
        <is>
          <t>Devon</t>
        </is>
      </c>
      <c r="E22" s="3" t="inlineStr">
        <is>
          <t>2026-08-17</t>
        </is>
      </c>
      <c r="F22" s="3" t="inlineStr">
        <is>
          <t>15:45</t>
        </is>
      </c>
      <c r="G22" s="3" t="inlineStr">
        <is>
          <t>Kost Mahasiswa Ulima</t>
        </is>
      </c>
      <c r="H22" s="3" t="inlineStr">
        <is>
          <t>Putri</t>
        </is>
      </c>
      <c r="I22" s="3" t="inlineStr">
        <is>
          <t>625rb</t>
        </is>
      </c>
      <c r="J22" s="3" t="inlineStr">
        <is>
          <t>Termasuk</t>
        </is>
      </c>
      <c r="K22" s="3" t="inlineStr">
        <is>
          <t>Dalam</t>
        </is>
      </c>
      <c r="L22" s="3" t="inlineStr">
        <is>
          <t>Ada</t>
        </is>
      </c>
      <c r="M22" s="3" t="inlineStr">
        <is>
          <t>Sosial media</t>
        </is>
      </c>
      <c r="N22" s="3" t="n">
        <v>210</v>
      </c>
      <c r="O22" s="3" t="n">
        <v>2100</v>
      </c>
      <c r="P22" s="3" t="inlineStr">
        <is>
          <t>Ya</t>
        </is>
      </c>
      <c r="Q22" s="3" t="inlineStr">
        <is>
          <t>RUAS-083</t>
        </is>
      </c>
      <c r="R22" s="3" t="n"/>
      <c r="S22" s="3" t="n">
        <v>625000</v>
      </c>
      <c r="T22" s="3" t="n">
        <v>625000</v>
      </c>
      <c r="U22" s="3" t="n">
        <v>625000</v>
      </c>
    </row>
    <row r="23" ht="15" customHeight="1">
      <c r="A23" s="3" t="inlineStr">
        <is>
          <t>KOS-022</t>
        </is>
      </c>
      <c r="B23" s="3" t="inlineStr">
        <is>
          <t>Day 2</t>
        </is>
      </c>
      <c r="C23" s="3" t="inlineStr">
        <is>
          <t>KWS-02</t>
        </is>
      </c>
      <c r="D23" s="3" t="inlineStr">
        <is>
          <t>Devon</t>
        </is>
      </c>
      <c r="E23" s="3" t="inlineStr">
        <is>
          <t>2026-08-17</t>
        </is>
      </c>
      <c r="F23" s="3" t="inlineStr">
        <is>
          <t>16:18</t>
        </is>
      </c>
      <c r="G23" s="3" t="inlineStr">
        <is>
          <t>kos Putri Tiga Dara</t>
        </is>
      </c>
      <c r="H23" s="3" t="inlineStr">
        <is>
          <t>Putri</t>
        </is>
      </c>
      <c r="I23" s="3" t="n"/>
      <c r="J23" s="3" t="inlineStr">
        <is>
          <t>Termasuk</t>
        </is>
      </c>
      <c r="K23" s="3" t="inlineStr">
        <is>
          <t>Luar</t>
        </is>
      </c>
      <c r="L23" s="3" t="inlineStr">
        <is>
          <t>Ada</t>
        </is>
      </c>
      <c r="M23" s="3" t="n"/>
      <c r="N23" s="3" t="n"/>
      <c r="O23" s="3" t="n"/>
      <c r="P23" s="3" t="n"/>
      <c r="Q23" s="3" t="inlineStr">
        <is>
          <t>RUAS-083</t>
        </is>
      </c>
      <c r="R23" s="3" t="n"/>
      <c r="S23" s="3" t="n"/>
      <c r="T23" s="3" t="n"/>
      <c r="U23" s="3" t="n"/>
    </row>
    <row r="24" ht="15" customHeight="1">
      <c r="A24" s="3" t="inlineStr">
        <is>
          <t>KOS-023</t>
        </is>
      </c>
      <c r="B24" s="3" t="inlineStr">
        <is>
          <t>Day 3</t>
        </is>
      </c>
      <c r="C24" s="3" t="inlineStr">
        <is>
          <t>KWS-09</t>
        </is>
      </c>
      <c r="D24" s="3" t="inlineStr">
        <is>
          <t>Theo</t>
        </is>
      </c>
      <c r="E24" s="3" t="inlineStr">
        <is>
          <t>2026-08-18</t>
        </is>
      </c>
      <c r="F24" s="3" t="inlineStr">
        <is>
          <t>12:05</t>
        </is>
      </c>
      <c r="G24" s="3" t="inlineStr">
        <is>
          <t>kost putri mulia sari</t>
        </is>
      </c>
      <c r="H24" s="3" t="inlineStr">
        <is>
          <t>Putri</t>
        </is>
      </c>
      <c r="I24" s="3" t="inlineStr">
        <is>
          <t>700k</t>
        </is>
      </c>
      <c r="J24" s="3" t="inlineStr">
        <is>
          <t>Termasuk</t>
        </is>
      </c>
      <c r="K24" s="3" t="inlineStr">
        <is>
          <t>Dalam</t>
        </is>
      </c>
      <c r="L24" s="3" t="inlineStr">
        <is>
          <t>Ada</t>
        </is>
      </c>
      <c r="M24" s="3" t="inlineStr">
        <is>
          <t>Sosial media</t>
        </is>
      </c>
      <c r="N24" s="3" t="n">
        <v>600</v>
      </c>
      <c r="O24" s="3" t="n">
        <v>5900</v>
      </c>
      <c r="P24" s="3" t="inlineStr">
        <is>
          <t>Ya</t>
        </is>
      </c>
      <c r="Q24" s="3" t="n"/>
      <c r="R24" s="3" t="inlineStr">
        <is>
          <t>https://www.instagram.com/p/DOrzo3_Ej92/?img_index=7&amp;igsh=ZW1saTd0OWEzNnQ4</t>
        </is>
      </c>
      <c r="S24" s="3" t="n">
        <v>700000</v>
      </c>
      <c r="T24" s="3" t="n">
        <v>700000</v>
      </c>
      <c r="U24" s="3" t="n">
        <v>700000</v>
      </c>
    </row>
    <row r="25" ht="108.75" customHeight="1">
      <c r="A25" s="3" t="inlineStr">
        <is>
          <t>KOS-024</t>
        </is>
      </c>
      <c r="B25" s="3" t="inlineStr">
        <is>
          <t>Day 3</t>
        </is>
      </c>
      <c r="C25" s="3" t="inlineStr">
        <is>
          <t>KWS-10</t>
        </is>
      </c>
      <c r="D25" s="3" t="inlineStr">
        <is>
          <t>Delon</t>
        </is>
      </c>
      <c r="E25" s="3" t="inlineStr">
        <is>
          <t>2026-08-18</t>
        </is>
      </c>
      <c r="F25" s="3" t="inlineStr">
        <is>
          <t>15:04</t>
        </is>
      </c>
      <c r="G25" s="3" t="inlineStr">
        <is>
          <t>Kost Soto Medan</t>
        </is>
      </c>
      <c r="H25" s="3" t="inlineStr">
        <is>
          <t>Putri</t>
        </is>
      </c>
      <c r="I25" s="3" t="inlineStr">
        <is>
          <t>650k</t>
        </is>
      </c>
      <c r="J25" s="3" t="inlineStr">
        <is>
          <t>Termasuk</t>
        </is>
      </c>
      <c r="K25" s="3" t="inlineStr">
        <is>
          <t>Luar</t>
        </is>
      </c>
      <c r="L25" s="3" t="inlineStr">
        <is>
          <t>Ada</t>
        </is>
      </c>
      <c r="M25" s="3" t="inlineStr">
        <is>
          <t>Tanya pengelola</t>
        </is>
      </c>
      <c r="N25" s="3" t="n">
        <v>500</v>
      </c>
      <c r="O25" s="3" t="n">
        <v>3100</v>
      </c>
      <c r="P25" s="3" t="inlineStr">
        <is>
          <t>Ya</t>
        </is>
      </c>
      <c r="Q25" s="3" t="inlineStr">
        <is>
          <t>RUAS-065</t>
        </is>
      </c>
      <c r="R25" s="14" t="inlineStr">
        <is>
          <t>Kipas angin
Bed..kasur..bantal 1
Kamar mandi luar ( sharing 2 kamar sesama cewek )
Free uang sampah
Free listrik ( tdk bole bawa kompor listrik )
Tambahan biaya kl bawa rice cooker 50rb perbulan</t>
        </is>
      </c>
      <c r="S25" s="3" t="n">
        <v>650000</v>
      </c>
      <c r="T25" s="3" t="n">
        <v>650000</v>
      </c>
      <c r="U25" s="3" t="n">
        <v>650000</v>
      </c>
    </row>
    <row r="26" ht="15" customHeight="1">
      <c r="A26" s="3" t="inlineStr">
        <is>
          <t>KOS-025</t>
        </is>
      </c>
      <c r="B26" s="3" t="inlineStr">
        <is>
          <t>Day 4</t>
        </is>
      </c>
      <c r="C26" s="3" t="inlineStr">
        <is>
          <t>KWS-01</t>
        </is>
      </c>
      <c r="D26" s="3" t="inlineStr">
        <is>
          <t>Devon</t>
        </is>
      </c>
      <c r="E26" s="3" t="inlineStr">
        <is>
          <t>2026-08-24</t>
        </is>
      </c>
      <c r="F26" s="3" t="inlineStr">
        <is>
          <t>16:18</t>
        </is>
      </c>
      <c r="G26" s="3" t="inlineStr">
        <is>
          <t>Kost HM4</t>
        </is>
      </c>
      <c r="H26" s="3" t="inlineStr">
        <is>
          <t>Putri</t>
        </is>
      </c>
      <c r="I26" s="3" t="inlineStr">
        <is>
          <t>850000</t>
        </is>
      </c>
      <c r="J26" s="3" t="inlineStr">
        <is>
          <t>Termasuk</t>
        </is>
      </c>
      <c r="K26" s="3" t="inlineStr">
        <is>
          <t>Luar</t>
        </is>
      </c>
      <c r="L26" s="3" t="inlineStr">
        <is>
          <t>Ada</t>
        </is>
      </c>
      <c r="M26" s="3" t="inlineStr">
        <is>
          <t>Tanya pengelola</t>
        </is>
      </c>
      <c r="N26" s="3" t="n">
        <v>70</v>
      </c>
      <c r="O26" s="3" t="n"/>
      <c r="P26" s="3" t="n"/>
      <c r="Q26" s="3" t="n"/>
      <c r="R26" s="3" t="inlineStr">
        <is>
          <t>Kos cadangan pengganti 'Kos ekslusif sorjem'. Harga 850.000 dikonfirmasi pemilik repo. Koordinat diisi manual 2026-09-08.</t>
        </is>
      </c>
      <c r="S26" s="3" t="n">
        <v>850000</v>
      </c>
      <c r="T26" s="3" t="n"/>
      <c r="U26" s="3" t="n"/>
    </row>
    <row r="27" ht="15" customHeight="1">
      <c r="A27" s="3" t="inlineStr">
        <is>
          <t>KOS-026</t>
        </is>
      </c>
      <c r="B27" s="3" t="inlineStr">
        <is>
          <t>Day 4</t>
        </is>
      </c>
      <c r="C27" s="3" t="inlineStr">
        <is>
          <t>KWS-01</t>
        </is>
      </c>
      <c r="D27" s="3" t="inlineStr">
        <is>
          <t>Devon</t>
        </is>
      </c>
      <c r="E27" s="3" t="inlineStr">
        <is>
          <t>2026-08-24</t>
        </is>
      </c>
      <c r="F27" s="3" t="inlineStr">
        <is>
          <t>16:20</t>
        </is>
      </c>
      <c r="G27" s="3" t="inlineStr">
        <is>
          <t>Kost Putra Janti 54 Sleman</t>
        </is>
      </c>
      <c r="H27" s="3" t="inlineStr">
        <is>
          <t>Putra</t>
        </is>
      </c>
      <c r="I27" s="3" t="inlineStr">
        <is>
          <t>500k</t>
        </is>
      </c>
      <c r="J27" s="3" t="inlineStr">
        <is>
          <t>Termasuk</t>
        </is>
      </c>
      <c r="K27" s="3" t="inlineStr">
        <is>
          <t>Luar</t>
        </is>
      </c>
      <c r="L27" s="3" t="inlineStr">
        <is>
          <t>Ada</t>
        </is>
      </c>
      <c r="M27" s="3" t="inlineStr">
        <is>
          <t>Sosial media</t>
        </is>
      </c>
      <c r="N27" s="3" t="n">
        <v>170</v>
      </c>
      <c r="O27" s="3" t="n">
        <v>1100</v>
      </c>
      <c r="P27" s="3" t="inlineStr">
        <is>
          <t>Tidak</t>
        </is>
      </c>
      <c r="Q27" s="3" t="n"/>
      <c r="R27" s="3" t="inlineStr">
        <is>
          <t>Luas kamar 3 x 2.5 meter. Isi kosongan. Area parkir bebas panas/hujan.</t>
        </is>
      </c>
      <c r="S27" s="3" t="n">
        <v>500000</v>
      </c>
      <c r="T27" s="3" t="n">
        <v>500000</v>
      </c>
      <c r="U27" s="3" t="n">
        <v>500000</v>
      </c>
    </row>
    <row r="28" ht="15" customHeight="1">
      <c r="A28" s="3" t="inlineStr">
        <is>
          <t>KOS-027</t>
        </is>
      </c>
      <c r="B28" s="3" t="inlineStr">
        <is>
          <t>Day 2</t>
        </is>
      </c>
      <c r="C28" s="3" t="inlineStr">
        <is>
          <t>KWS-07</t>
        </is>
      </c>
      <c r="D28" s="3" t="inlineStr">
        <is>
          <t>Andalan</t>
        </is>
      </c>
      <c r="E28" s="3" t="inlineStr">
        <is>
          <t>2026-08-17</t>
        </is>
      </c>
      <c r="F28" s="3" t="inlineStr">
        <is>
          <t>13:20</t>
        </is>
      </c>
      <c r="G28" s="3" t="inlineStr">
        <is>
          <t>Kos Setio</t>
        </is>
      </c>
      <c r="H28" s="3" t="inlineStr">
        <is>
          <t>Campur</t>
        </is>
      </c>
      <c r="I28" s="3" t="inlineStr">
        <is>
          <t>1.2jt - 1.3jt</t>
        </is>
      </c>
      <c r="J28" s="3" t="inlineStr">
        <is>
          <t>Termasuk</t>
        </is>
      </c>
      <c r="K28" s="3" t="inlineStr">
        <is>
          <t>Dalam</t>
        </is>
      </c>
      <c r="L28" s="3" t="inlineStr">
        <is>
          <t>Ada</t>
        </is>
      </c>
      <c r="M28" s="3" t="inlineStr">
        <is>
          <t>Tanya pengelola</t>
        </is>
      </c>
      <c r="N28" s="3" t="n">
        <v>300</v>
      </c>
      <c r="O28" s="3" t="n">
        <v>2000</v>
      </c>
      <c r="P28" s="3" t="inlineStr">
        <is>
          <t>Tidak</t>
        </is>
      </c>
      <c r="Q28" s="3" t="inlineStr">
        <is>
          <t>RUAS-024</t>
        </is>
      </c>
      <c r="R28" s="3" t="n"/>
      <c r="S28" s="3" t="n">
        <v>1250000</v>
      </c>
      <c r="T28" s="3" t="n">
        <v>1200000</v>
      </c>
      <c r="U28" s="3" t="n">
        <v>1300000</v>
      </c>
    </row>
    <row r="29" ht="15" customHeight="1">
      <c r="A29" s="3" t="inlineStr">
        <is>
          <t>KOS-028</t>
        </is>
      </c>
      <c r="B29" s="3" t="inlineStr">
        <is>
          <t>Day 2</t>
        </is>
      </c>
      <c r="C29" s="3" t="inlineStr">
        <is>
          <t>KWS-07</t>
        </is>
      </c>
      <c r="D29" s="3" t="inlineStr">
        <is>
          <t>Andalan</t>
        </is>
      </c>
      <c r="E29" s="3" t="inlineStr">
        <is>
          <t>2026-08-17</t>
        </is>
      </c>
      <c r="F29" s="3" t="inlineStr">
        <is>
          <t>13:44</t>
        </is>
      </c>
      <c r="G29" s="3" t="inlineStr">
        <is>
          <t>Kos Kamandaka</t>
        </is>
      </c>
      <c r="H29" s="3" t="inlineStr">
        <is>
          <t>Putra</t>
        </is>
      </c>
      <c r="I29" s="3" t="inlineStr">
        <is>
          <t>1.2jt - 1.3jt</t>
        </is>
      </c>
      <c r="J29" s="3" t="inlineStr">
        <is>
          <t>Termasuk</t>
        </is>
      </c>
      <c r="K29" s="3" t="inlineStr">
        <is>
          <t>Dalam</t>
        </is>
      </c>
      <c r="L29" s="3" t="inlineStr">
        <is>
          <t>Ada</t>
        </is>
      </c>
      <c r="M29" s="3" t="inlineStr">
        <is>
          <t>Tanya pengelola</t>
        </is>
      </c>
      <c r="N29" s="3" t="n">
        <v>1100</v>
      </c>
      <c r="O29" s="3" t="n">
        <v>1100</v>
      </c>
      <c r="P29" s="3" t="inlineStr">
        <is>
          <t>Tidak</t>
        </is>
      </c>
      <c r="Q29" s="3" t="inlineStr">
        <is>
          <t>RUAS-025</t>
        </is>
      </c>
      <c r="R29" s="3" t="n"/>
      <c r="S29" s="3" t="n">
        <v>1250000</v>
      </c>
      <c r="T29" s="3" t="n">
        <v>1200000</v>
      </c>
      <c r="U29" s="3" t="n">
        <v>1300000</v>
      </c>
    </row>
    <row r="30" ht="15" customHeight="1">
      <c r="A30" s="3" t="inlineStr">
        <is>
          <t>KOS-029</t>
        </is>
      </c>
      <c r="B30" s="3" t="inlineStr">
        <is>
          <t>Day 4</t>
        </is>
      </c>
      <c r="C30" s="3" t="inlineStr">
        <is>
          <t>KWS-09</t>
        </is>
      </c>
      <c r="D30" s="3" t="inlineStr">
        <is>
          <t>Andalan</t>
        </is>
      </c>
      <c r="E30" s="3" t="inlineStr">
        <is>
          <t>2026-08-24</t>
        </is>
      </c>
      <c r="F30" s="3" t="n"/>
      <c r="G30" s="3" t="inlineStr">
        <is>
          <t>Kos Tigaraksa</t>
        </is>
      </c>
      <c r="H30" s="3" t="inlineStr">
        <is>
          <t>Putra</t>
        </is>
      </c>
      <c r="I30" s="3" t="inlineStr">
        <is>
          <t>500rb - 800rb</t>
        </is>
      </c>
      <c r="J30" s="3" t="inlineStr">
        <is>
          <t>Termasuk</t>
        </is>
      </c>
      <c r="K30" s="3" t="inlineStr">
        <is>
          <t>Luar</t>
        </is>
      </c>
      <c r="L30" s="3" t="inlineStr">
        <is>
          <t>Ada</t>
        </is>
      </c>
      <c r="M30" s="3" t="inlineStr">
        <is>
          <t>Tanya pengelola</t>
        </is>
      </c>
      <c r="N30" s="3" t="n">
        <v>550</v>
      </c>
      <c r="O30" s="3" t="n">
        <v>6000</v>
      </c>
      <c r="P30" s="3" t="inlineStr">
        <is>
          <t>Ya</t>
        </is>
      </c>
      <c r="Q30" s="3" t="inlineStr">
        <is>
          <t>RUAS-072</t>
        </is>
      </c>
      <c r="R30" s="3" t="n"/>
      <c r="S30" s="3" t="n">
        <v>650000</v>
      </c>
      <c r="T30" s="3" t="n">
        <v>500000</v>
      </c>
      <c r="U30" s="3" t="n">
        <v>800000</v>
      </c>
    </row>
    <row r="31" ht="15" customHeight="1">
      <c r="A31" s="3" t="inlineStr">
        <is>
          <t>KOS-030</t>
        </is>
      </c>
      <c r="B31" s="3" t="inlineStr">
        <is>
          <t>Day 4</t>
        </is>
      </c>
      <c r="C31" s="3" t="inlineStr">
        <is>
          <t>KWS-09</t>
        </is>
      </c>
      <c r="D31" s="3" t="inlineStr">
        <is>
          <t>Andalan</t>
        </is>
      </c>
      <c r="E31" s="3" t="inlineStr">
        <is>
          <t>2026-08-24</t>
        </is>
      </c>
      <c r="F31" s="3" t="n"/>
      <c r="G31" s="3" t="inlineStr">
        <is>
          <t>Kos Pak Ragil Bulanan Kamar Mandi Dalam</t>
        </is>
      </c>
      <c r="H31" s="3" t="inlineStr">
        <is>
          <t>Campur</t>
        </is>
      </c>
      <c r="I31" s="3" t="inlineStr">
        <is>
          <t>900rb - 1.2jt</t>
        </is>
      </c>
      <c r="J31" s="3" t="inlineStr">
        <is>
          <t>Termasuk</t>
        </is>
      </c>
      <c r="K31" s="3" t="inlineStr">
        <is>
          <t>Dalam</t>
        </is>
      </c>
      <c r="L31" s="3" t="inlineStr">
        <is>
          <t>Ada</t>
        </is>
      </c>
      <c r="M31" s="3" t="inlineStr">
        <is>
          <t>Tanya pengelola</t>
        </is>
      </c>
      <c r="N31" s="3" t="n">
        <v>1500</v>
      </c>
      <c r="O31" s="3" t="n">
        <v>6000</v>
      </c>
      <c r="P31" s="3" t="inlineStr">
        <is>
          <t>Ya</t>
        </is>
      </c>
      <c r="Q31" s="3" t="inlineStr">
        <is>
          <t>RUAS-069</t>
        </is>
      </c>
      <c r="R31" s="3" t="n"/>
      <c r="S31" s="3" t="n">
        <v>1050000</v>
      </c>
      <c r="T31" s="3" t="n">
        <v>900000</v>
      </c>
      <c r="U31" s="3" t="n">
        <v>1200000</v>
      </c>
    </row>
    <row r="32" ht="15" customHeight="1">
      <c r="A32" s="3" t="inlineStr">
        <is>
          <t>KOS-031</t>
        </is>
      </c>
      <c r="B32" s="3" t="inlineStr">
        <is>
          <t>Day 4</t>
        </is>
      </c>
      <c r="C32" s="3" t="inlineStr">
        <is>
          <t>KWS-05</t>
        </is>
      </c>
      <c r="D32" s="3" t="inlineStr">
        <is>
          <t>Andalan</t>
        </is>
      </c>
      <c r="E32" s="3" t="inlineStr">
        <is>
          <t>2026-08-24</t>
        </is>
      </c>
      <c r="F32" s="3" t="n"/>
      <c r="G32" s="3" t="inlineStr">
        <is>
          <t>Kost Ibu Kondang</t>
        </is>
      </c>
      <c r="H32" s="3" t="inlineStr">
        <is>
          <t>Putri</t>
        </is>
      </c>
      <c r="I32" s="3" t="inlineStr">
        <is>
          <t>700rb - 1.1jt</t>
        </is>
      </c>
      <c r="J32" s="3" t="inlineStr">
        <is>
          <t>Termasuk</t>
        </is>
      </c>
      <c r="K32" s="3" t="inlineStr">
        <is>
          <t>Dalam</t>
        </is>
      </c>
      <c r="L32" s="3" t="inlineStr">
        <is>
          <t>Ada</t>
        </is>
      </c>
      <c r="M32" s="3" t="inlineStr">
        <is>
          <t>Tanya pengelola</t>
        </is>
      </c>
      <c r="N32" s="3" t="n">
        <v>700</v>
      </c>
      <c r="O32" s="3" t="n">
        <v>2900</v>
      </c>
      <c r="P32" s="3" t="inlineStr">
        <is>
          <t>Ya</t>
        </is>
      </c>
      <c r="Q32" s="3" t="inlineStr">
        <is>
          <t>RUAS-051</t>
        </is>
      </c>
      <c r="R32" s="3" t="n"/>
      <c r="S32" s="3" t="n">
        <v>900000</v>
      </c>
      <c r="T32" s="3" t="n">
        <v>700000</v>
      </c>
      <c r="U32" s="3" t="n">
        <v>1100000</v>
      </c>
    </row>
  </sheetData>
  <autoFilter ref="A1:U32"/>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R46"/>
  <sheetViews>
    <sheetView topLeftCell="A19" zoomScaleNormal="100" workbookViewId="0">
      <selection activeCell="B31" sqref="B31"/>
    </sheetView>
  </sheetViews>
  <sheetFormatPr baseColWidth="8" defaultColWidth="8.6640625" defaultRowHeight="14.4"/>
  <cols>
    <col width="44" customWidth="1" min="1" max="1"/>
    <col width="32" customWidth="1" min="2" max="2"/>
    <col width="13" customWidth="1" min="3" max="18"/>
  </cols>
  <sheetData>
    <row r="1" ht="15.75" customHeight="1">
      <c r="A1" s="7" t="inlineStr">
        <is>
          <t>Panduan W-6 — Indeks Integritas Jalur Pejalan</t>
        </is>
      </c>
      <c r="B1" s="3" t="n"/>
      <c r="C1" s="3" t="n"/>
      <c r="D1" s="3" t="n"/>
      <c r="E1" s="3" t="n"/>
      <c r="F1" s="3" t="n"/>
      <c r="G1" s="3" t="n"/>
      <c r="H1" s="3" t="n"/>
      <c r="I1" s="3" t="n"/>
      <c r="J1" s="3" t="n"/>
      <c r="K1" s="3" t="n"/>
      <c r="L1" s="3" t="n"/>
      <c r="M1" s="3" t="n"/>
      <c r="N1" s="3" t="n"/>
      <c r="O1" s="3" t="n"/>
      <c r="P1" s="3" t="n"/>
      <c r="Q1" s="3" t="n"/>
      <c r="R1" s="3" t="n"/>
    </row>
    <row r="2" ht="15" customHeight="1">
      <c r="A2" s="3" t="inlineStr">
        <is>
          <t>Bobot dan parameter di bawah dipakai oleh kolom I-1..I-5 dan W-6 pada sheet Ruas. Ubah sel kuning saja.</t>
        </is>
      </c>
      <c r="B2" s="3" t="n"/>
      <c r="C2" s="3" t="n"/>
      <c r="D2" s="3" t="n"/>
      <c r="E2" s="3" t="n"/>
      <c r="F2" s="3" t="n"/>
      <c r="G2" s="3" t="n"/>
      <c r="H2" s="3" t="n"/>
      <c r="I2" s="3" t="n"/>
      <c r="J2" s="3" t="n"/>
      <c r="K2" s="3" t="n"/>
      <c r="L2" s="3" t="n"/>
      <c r="M2" s="3" t="n"/>
      <c r="N2" s="3" t="n"/>
      <c r="O2" s="3" t="n"/>
      <c r="P2" s="3" t="n"/>
      <c r="Q2" s="3" t="n"/>
      <c r="R2" s="3" t="n"/>
    </row>
    <row r="3" ht="15" customHeight="1">
      <c r="A3" s="8" t="inlineStr">
        <is>
          <t>Parameter</t>
        </is>
      </c>
      <c r="B3" s="3" t="n"/>
      <c r="C3" s="3" t="n"/>
      <c r="D3" s="3" t="n"/>
      <c r="E3" s="3" t="n"/>
      <c r="F3" s="3" t="n"/>
      <c r="G3" s="3" t="n"/>
      <c r="H3" s="3" t="n"/>
      <c r="I3" s="3" t="n"/>
      <c r="J3" s="3" t="n"/>
      <c r="K3" s="3" t="n"/>
      <c r="L3" s="3" t="n"/>
      <c r="M3" s="3" t="n"/>
      <c r="N3" s="3" t="n"/>
      <c r="O3" s="3" t="n"/>
      <c r="P3" s="3" t="n"/>
      <c r="Q3" s="3" t="n"/>
      <c r="R3" s="3" t="n"/>
    </row>
    <row r="4" ht="15" customHeight="1">
      <c r="A4" s="3" t="inlineStr">
        <is>
          <t>Bobot I-1 ketersediaan trotoar</t>
        </is>
      </c>
      <c r="B4" s="9" t="n">
        <v>0.25</v>
      </c>
      <c r="C4" s="3" t="n"/>
      <c r="D4" s="3" t="n"/>
      <c r="E4" s="3" t="n"/>
      <c r="F4" s="3" t="n"/>
      <c r="G4" s="3" t="n"/>
      <c r="H4" s="3" t="n"/>
      <c r="I4" s="3" t="n"/>
      <c r="J4" s="3" t="n"/>
      <c r="K4" s="3" t="n"/>
      <c r="L4" s="3" t="n"/>
      <c r="M4" s="3" t="n"/>
      <c r="N4" s="3" t="n"/>
      <c r="O4" s="3" t="n"/>
      <c r="P4" s="3" t="n"/>
      <c r="Q4" s="3" t="n"/>
      <c r="R4" s="3" t="n"/>
    </row>
    <row r="5" ht="15" customHeight="1">
      <c r="A5" s="3" t="inlineStr">
        <is>
          <t>Bobot I-2 kecukupan lebar</t>
        </is>
      </c>
      <c r="B5" s="9" t="n">
        <v>0.15</v>
      </c>
      <c r="C5" s="3" t="n"/>
      <c r="D5" s="3" t="n"/>
      <c r="E5" s="3" t="n"/>
      <c r="F5" s="3" t="n"/>
      <c r="G5" s="3" t="n"/>
      <c r="H5" s="3" t="n"/>
      <c r="I5" s="3" t="n"/>
      <c r="J5" s="3" t="n"/>
      <c r="K5" s="3" t="n"/>
      <c r="L5" s="3" t="n"/>
      <c r="M5" s="3" t="n"/>
      <c r="N5" s="3" t="n"/>
      <c r="O5" s="3" t="n"/>
      <c r="P5" s="3" t="n"/>
      <c r="Q5" s="3" t="n"/>
      <c r="R5" s="3" t="n"/>
    </row>
    <row r="6" ht="15" customHeight="1">
      <c r="A6" s="3" t="inlineStr">
        <is>
          <t>Bobot I-3 keutuhan trotoar</t>
        </is>
      </c>
      <c r="B6" s="9" t="n">
        <v>0.2</v>
      </c>
      <c r="C6" s="3" t="n"/>
      <c r="D6" s="3" t="n"/>
      <c r="E6" s="3" t="n"/>
      <c r="F6" s="3" t="n"/>
      <c r="G6" s="3" t="n"/>
      <c r="H6" s="3" t="n"/>
      <c r="I6" s="3" t="n"/>
      <c r="J6" s="3" t="n"/>
      <c r="K6" s="3" t="n"/>
      <c r="L6" s="3" t="n"/>
      <c r="M6" s="3" t="n"/>
      <c r="N6" s="3" t="n"/>
      <c r="O6" s="3" t="n"/>
      <c r="P6" s="3" t="n"/>
      <c r="Q6" s="3" t="n"/>
      <c r="R6" s="3" t="n"/>
    </row>
    <row r="7" ht="15" customHeight="1">
      <c r="A7" s="3" t="inlineStr">
        <is>
          <t>Bobot I-4 kemulusan permukaan</t>
        </is>
      </c>
      <c r="B7" s="9" t="n">
        <v>0.15</v>
      </c>
      <c r="C7" s="3" t="n"/>
      <c r="D7" s="3" t="n"/>
      <c r="E7" s="3" t="n"/>
      <c r="F7" s="3" t="n"/>
      <c r="G7" s="3" t="n"/>
      <c r="H7" s="3" t="n"/>
      <c r="I7" s="3" t="n"/>
      <c r="J7" s="3" t="n"/>
      <c r="K7" s="3" t="n"/>
      <c r="L7" s="3" t="n"/>
      <c r="M7" s="3" t="n"/>
      <c r="N7" s="3" t="n"/>
      <c r="O7" s="3" t="n"/>
      <c r="P7" s="3" t="n"/>
      <c r="Q7" s="3" t="n"/>
      <c r="R7" s="3" t="n"/>
    </row>
    <row r="8" ht="15" customHeight="1">
      <c r="A8" s="3" t="inlineStr">
        <is>
          <t>Bobot I-5 tidak turun ke jalan</t>
        </is>
      </c>
      <c r="B8" s="9" t="n">
        <v>0.25</v>
      </c>
      <c r="C8" s="3" t="n"/>
      <c r="D8" s="3" t="n"/>
      <c r="E8" s="3" t="n"/>
      <c r="F8" s="3" t="n"/>
      <c r="G8" s="3" t="n"/>
      <c r="H8" s="3" t="n"/>
      <c r="I8" s="3" t="n"/>
      <c r="J8" s="3" t="n"/>
      <c r="K8" s="3" t="n"/>
      <c r="L8" s="3" t="n"/>
      <c r="M8" s="3" t="n"/>
      <c r="N8" s="3" t="n"/>
      <c r="O8" s="3" t="n"/>
      <c r="P8" s="3" t="n"/>
      <c r="Q8" s="3" t="n"/>
      <c r="R8" s="3" t="n"/>
    </row>
    <row r="9" ht="15" customHeight="1">
      <c r="A9" s="3" t="inlineStr">
        <is>
          <t>Lebar trotoar standar (m)</t>
        </is>
      </c>
      <c r="B9" s="9" t="n">
        <v>1.5</v>
      </c>
      <c r="C9" s="3" t="n"/>
      <c r="D9" s="3" t="n"/>
      <c r="E9" s="3" t="n"/>
      <c r="F9" s="3" t="n"/>
      <c r="G9" s="3" t="n"/>
      <c r="H9" s="3" t="n"/>
      <c r="I9" s="3" t="n"/>
      <c r="J9" s="3" t="n"/>
      <c r="K9" s="3" t="n"/>
      <c r="L9" s="3" t="n"/>
      <c r="M9" s="3" t="n"/>
      <c r="N9" s="3" t="n"/>
      <c r="O9" s="3" t="n"/>
      <c r="P9" s="3" t="n"/>
      <c r="Q9" s="3" t="n"/>
      <c r="R9" s="3" t="n"/>
    </row>
    <row r="10" ht="15" customHeight="1">
      <c r="A10" s="3" t="inlineStr">
        <is>
          <t>Konstanta pemulusan I-4</t>
        </is>
      </c>
      <c r="B10" s="9" t="n">
        <v>3</v>
      </c>
      <c r="C10" s="3" t="n"/>
      <c r="D10" s="3" t="n"/>
      <c r="E10" s="3" t="n"/>
      <c r="F10" s="3" t="n"/>
      <c r="G10" s="3" t="n"/>
      <c r="H10" s="3" t="n"/>
      <c r="I10" s="3" t="n"/>
      <c r="J10" s="3" t="n"/>
      <c r="K10" s="3" t="n"/>
      <c r="L10" s="3" t="n"/>
      <c r="M10" s="3" t="n"/>
      <c r="N10" s="3" t="n"/>
      <c r="O10" s="3" t="n"/>
      <c r="P10" s="3" t="n"/>
      <c r="Q10" s="3" t="n"/>
      <c r="R10" s="3" t="n"/>
    </row>
    <row r="11" ht="15" customHeight="1">
      <c r="A11" s="3" t="inlineStr">
        <is>
          <t>Pengecualian gang sepi (Ya/Tidak)</t>
        </is>
      </c>
      <c r="B11" s="9" t="inlineStr">
        <is>
          <t>Tidak</t>
        </is>
      </c>
      <c r="C11" s="3" t="n"/>
      <c r="D11" s="3" t="n"/>
      <c r="E11" s="3" t="n"/>
      <c r="F11" s="3" t="n"/>
      <c r="G11" s="3" t="n"/>
      <c r="H11" s="3" t="n"/>
      <c r="I11" s="3" t="n"/>
      <c r="J11" s="3" t="n"/>
      <c r="K11" s="3" t="n"/>
      <c r="L11" s="3" t="n"/>
      <c r="M11" s="3" t="n"/>
      <c r="N11" s="3" t="n"/>
      <c r="O11" s="3" t="n"/>
      <c r="P11" s="3" t="n"/>
      <c r="Q11" s="3" t="n"/>
      <c r="R11" s="3" t="n"/>
    </row>
    <row r="12" ht="15" customHeight="1">
      <c r="A12" s="3" t="inlineStr">
        <is>
          <t>Jumlah bobot (harus 1,00)</t>
        </is>
      </c>
      <c r="B12" s="8">
        <f>SUM(B4:B8)</f>
        <v/>
      </c>
      <c r="C12" s="3" t="n"/>
      <c r="D12" s="3" t="n"/>
      <c r="E12" s="3" t="n"/>
      <c r="F12" s="3" t="n"/>
      <c r="G12" s="3" t="n"/>
      <c r="H12" s="3" t="n"/>
      <c r="I12" s="3" t="n"/>
      <c r="J12" s="3" t="n"/>
      <c r="K12" s="3" t="n"/>
      <c r="L12" s="3" t="n"/>
      <c r="M12" s="3" t="n"/>
      <c r="N12" s="3" t="n"/>
      <c r="O12" s="3" t="n"/>
      <c r="P12" s="3" t="n"/>
      <c r="Q12" s="3" t="n"/>
      <c r="R12" s="3" t="n"/>
    </row>
    <row r="13">
      <c r="A13" s="3" t="n"/>
      <c r="B13" s="3" t="n"/>
      <c r="C13" s="3" t="n"/>
      <c r="D13" s="3" t="n"/>
      <c r="E13" s="3" t="n"/>
      <c r="F13" s="3" t="n"/>
      <c r="G13" s="3" t="n"/>
      <c r="H13" s="3" t="n"/>
      <c r="I13" s="3" t="n"/>
      <c r="J13" s="3" t="n"/>
      <c r="K13" s="3" t="n"/>
      <c r="L13" s="3" t="n"/>
      <c r="M13" s="3" t="n"/>
      <c r="N13" s="3" t="n"/>
      <c r="O13" s="3" t="n"/>
      <c r="P13" s="3" t="n"/>
      <c r="Q13" s="3" t="n"/>
      <c r="R13" s="3" t="n"/>
    </row>
    <row r="14" ht="15" customHeight="1">
      <c r="A14" s="8" t="inlineStr">
        <is>
          <t>Aturan yang tertanam di rumus</t>
        </is>
      </c>
      <c r="B14" s="3" t="n"/>
      <c r="C14" s="3" t="n"/>
      <c r="D14" s="3" t="n"/>
      <c r="E14" s="3" t="n"/>
      <c r="F14" s="3" t="n"/>
      <c r="G14" s="3" t="n"/>
      <c r="H14" s="3" t="n"/>
      <c r="I14" s="3" t="n"/>
      <c r="J14" s="3" t="n"/>
      <c r="K14" s="3" t="n"/>
      <c r="L14" s="3" t="n"/>
      <c r="M14" s="3" t="n"/>
      <c r="N14" s="3" t="n"/>
      <c r="O14" s="3" t="n"/>
      <c r="P14" s="3" t="n"/>
      <c r="Q14" s="3" t="n"/>
      <c r="R14" s="3" t="n"/>
    </row>
    <row r="15" ht="15" customHeight="1">
      <c r="A15" s="3" t="inlineStr">
        <is>
          <t>1.  Trotoar = "Tidak ada"  -&gt;  I-1 = 0, I-2 = 0, I-3 = 0. Kolom pengukuran boleh dibiarkan kosong;</t>
        </is>
      </c>
      <c r="B15" s="3" t="n"/>
      <c r="C15" s="3" t="n"/>
      <c r="D15" s="3" t="n"/>
      <c r="E15" s="3" t="n"/>
      <c r="F15" s="3" t="n"/>
      <c r="G15" s="3" t="n"/>
      <c r="H15" s="3" t="n"/>
      <c r="I15" s="3" t="n"/>
      <c r="J15" s="3" t="n"/>
      <c r="K15" s="3" t="n"/>
      <c r="L15" s="3" t="n"/>
      <c r="M15" s="3" t="n"/>
      <c r="N15" s="3" t="n"/>
      <c r="O15" s="3" t="n"/>
      <c r="P15" s="3" t="n"/>
      <c r="Q15" s="3" t="n"/>
      <c r="R15" s="3" t="n"/>
    </row>
    <row r="16" ht="15" customHeight="1">
      <c r="A16" s="3" t="inlineStr">
        <is>
          <t xml:space="preserve">     rumus tidak membacanya. I-3 bernilai 0, BUKAN 1. Trotoar yang tidak ada berarti jalur</t>
        </is>
      </c>
      <c r="B16" s="3" t="n"/>
      <c r="C16" s="3" t="n"/>
      <c r="D16" s="3" t="n"/>
      <c r="E16" s="3" t="n"/>
      <c r="F16" s="3" t="n"/>
      <c r="G16" s="3" t="n"/>
      <c r="H16" s="3" t="n"/>
      <c r="I16" s="3" t="n"/>
      <c r="J16" s="3" t="n"/>
      <c r="K16" s="3" t="n"/>
      <c r="L16" s="3" t="n"/>
      <c r="M16" s="3" t="n"/>
      <c r="N16" s="3" t="n"/>
      <c r="O16" s="3" t="n"/>
      <c r="P16" s="3" t="n"/>
      <c r="Q16" s="3" t="n"/>
      <c r="R16" s="3" t="n"/>
    </row>
    <row r="17" ht="15" customHeight="1">
      <c r="A17" s="3" t="inlineStr">
        <is>
          <t xml:space="preserve">     terputus seluruhnya, bukan jalur utuh.</t>
        </is>
      </c>
      <c r="B17" s="3" t="n"/>
      <c r="C17" s="3" t="n"/>
      <c r="D17" s="3" t="n"/>
      <c r="E17" s="3" t="n"/>
      <c r="F17" s="3" t="n"/>
      <c r="G17" s="3" t="n"/>
      <c r="H17" s="3" t="n"/>
      <c r="I17" s="3" t="n"/>
      <c r="J17" s="3" t="n"/>
      <c r="K17" s="3" t="n"/>
      <c r="L17" s="3" t="n"/>
      <c r="M17" s="3" t="n"/>
      <c r="N17" s="3" t="n"/>
      <c r="O17" s="3" t="n"/>
      <c r="P17" s="3" t="n"/>
      <c r="Q17" s="3" t="n"/>
      <c r="R17" s="3" t="n"/>
    </row>
    <row r="18" ht="15" customHeight="1">
      <c r="A18" s="3" t="inlineStr">
        <is>
          <t>2.  Trotoar = "Tidak ada"  -&gt;  I-4 dikeluarkan dan bobotnya dinormalisasi ulang (0,85).</t>
        </is>
      </c>
      <c r="B18" s="3" t="n"/>
      <c r="C18" s="3" t="n"/>
      <c r="D18" s="3" t="n"/>
      <c r="E18" s="3" t="n"/>
      <c r="F18" s="3" t="n"/>
      <c r="G18" s="3" t="n"/>
      <c r="H18" s="3" t="n"/>
      <c r="I18" s="3" t="n"/>
      <c r="J18" s="3" t="n"/>
      <c r="K18" s="3" t="n"/>
      <c r="L18" s="3" t="n"/>
      <c r="M18" s="3" t="n"/>
      <c r="N18" s="3" t="n"/>
      <c r="O18" s="3" t="n"/>
      <c r="P18" s="3" t="n"/>
      <c r="Q18" s="3" t="n"/>
      <c r="R18" s="3" t="n"/>
    </row>
    <row r="19" ht="15" customHeight="1">
      <c r="A19" s="3" t="inlineStr">
        <is>
          <t xml:space="preserve">     Kolom lubang untuk ruas tanpa trotoar merujuk permukaan jalan, bukan trotoar.</t>
        </is>
      </c>
      <c r="B19" s="3" t="n"/>
      <c r="C19" s="3" t="n"/>
      <c r="D19" s="3" t="n"/>
      <c r="E19" s="3" t="n"/>
      <c r="F19" s="3" t="n"/>
      <c r="G19" s="3" t="n"/>
      <c r="H19" s="3" t="n"/>
      <c r="I19" s="3" t="n"/>
      <c r="J19" s="3" t="n"/>
      <c r="K19" s="3" t="n"/>
      <c r="L19" s="3" t="n"/>
      <c r="M19" s="3" t="n"/>
      <c r="N19" s="3" t="n"/>
      <c r="O19" s="3" t="n"/>
      <c r="P19" s="3" t="n"/>
      <c r="Q19" s="3" t="n"/>
      <c r="R19" s="3" t="n"/>
    </row>
    <row r="20" ht="15" customHeight="1">
      <c r="A20" s="3" t="inlineStr">
        <is>
          <t xml:space="preserve">     Plafon W-6 untuk ruas tanpa trotoar menjadi 0,294 (hanya dari I-5).</t>
        </is>
      </c>
      <c r="B20" s="3" t="n"/>
      <c r="C20" s="3" t="n"/>
      <c r="D20" s="3" t="n"/>
      <c r="E20" s="3" t="n"/>
      <c r="F20" s="3" t="n"/>
      <c r="G20" s="3" t="n"/>
      <c r="H20" s="3" t="n"/>
      <c r="I20" s="3" t="n"/>
      <c r="J20" s="3" t="n"/>
      <c r="K20" s="3" t="n"/>
      <c r="L20" s="3" t="n"/>
      <c r="M20" s="3" t="n"/>
      <c r="N20" s="3" t="n"/>
      <c r="O20" s="3" t="n"/>
      <c r="P20" s="3" t="n"/>
      <c r="Q20" s="3" t="n"/>
      <c r="R20" s="3" t="n"/>
    </row>
    <row r="21" ht="15" customHeight="1">
      <c r="A21" s="3" t="inlineStr">
        <is>
          <t>3.  I-4 = EXP(-lubang per 100 m / konstanta pemulusan). Konstanta 1 = rumus PRD asli, sangat curam</t>
        </is>
      </c>
      <c r="B21" s="3" t="n"/>
      <c r="C21" s="3" t="n"/>
      <c r="D21" s="3" t="n"/>
      <c r="E21" s="3" t="n"/>
      <c r="F21" s="3" t="n"/>
      <c r="G21" s="3" t="n"/>
      <c r="H21" s="3" t="n"/>
      <c r="I21" s="3" t="n"/>
      <c r="J21" s="3" t="n"/>
      <c r="K21" s="3" t="n"/>
      <c r="L21" s="3" t="n"/>
      <c r="M21" s="3" t="n"/>
      <c r="N21" s="3" t="n"/>
      <c r="O21" s="3" t="n"/>
      <c r="P21" s="3" t="n"/>
      <c r="Q21" s="3" t="n"/>
      <c r="R21" s="3" t="n"/>
    </row>
    <row r="22" ht="15" customHeight="1">
      <c r="A22" s="3" t="inlineStr">
        <is>
          <t xml:space="preserve">     (2 lubang per 180 m sudah menjatuhkan I-4 ke 0,33). Konstanta 3 jauh lebih landai dan tahan</t>
        </is>
      </c>
      <c r="B22" s="3" t="n"/>
      <c r="C22" s="3" t="n"/>
      <c r="D22" s="3" t="n"/>
      <c r="E22" s="3" t="n"/>
      <c r="F22" s="3" t="n"/>
      <c r="G22" s="3" t="n"/>
      <c r="H22" s="3" t="n"/>
      <c r="I22" s="3" t="n"/>
      <c r="J22" s="3" t="n"/>
      <c r="K22" s="3" t="n"/>
      <c r="L22" s="3" t="n"/>
      <c r="M22" s="3" t="n"/>
      <c r="N22" s="3" t="n"/>
      <c r="O22" s="3" t="n"/>
      <c r="P22" s="3" t="n"/>
      <c r="Q22" s="3" t="n"/>
      <c r="R22" s="3" t="n"/>
    </row>
    <row r="23" ht="15" customHeight="1">
      <c r="A23" s="3" t="inlineStr">
        <is>
          <t xml:space="preserve">     terhadap selisih hitung satu-dua lubang. Default di sini 3; ubah ke 1 untuk kembali ke PRD.</t>
        </is>
      </c>
      <c r="B23" s="3" t="n"/>
      <c r="C23" s="3" t="n"/>
      <c r="D23" s="3" t="n"/>
      <c r="E23" s="3" t="n"/>
      <c r="F23" s="3" t="n"/>
      <c r="G23" s="3" t="n"/>
      <c r="H23" s="3" t="n"/>
      <c r="I23" s="3" t="n"/>
      <c r="J23" s="3" t="n"/>
      <c r="K23" s="3" t="n"/>
      <c r="L23" s="3" t="n"/>
      <c r="M23" s="3" t="n"/>
      <c r="N23" s="3" t="n"/>
      <c r="O23" s="3" t="n"/>
      <c r="P23" s="3" t="n"/>
      <c r="Q23" s="3" t="n"/>
      <c r="R23" s="3" t="n"/>
    </row>
    <row r="24" ht="15" customHeight="1">
      <c r="A24" s="3" t="inlineStr">
        <is>
          <t>4.  Pengecualian gang sepi (default Tidak). Bila diaktifkan, ruas dengan Jenis jalan = "Gang" dan</t>
        </is>
      </c>
      <c r="B24" s="3" t="n"/>
      <c r="C24" s="3" t="n"/>
      <c r="D24" s="3" t="n"/>
      <c r="E24" s="3" t="n"/>
      <c r="F24" s="3" t="n"/>
      <c r="G24" s="3" t="n"/>
      <c r="H24" s="3" t="n"/>
      <c r="I24" s="3" t="n"/>
      <c r="J24" s="3" t="n"/>
      <c r="K24" s="3" t="n"/>
      <c r="L24" s="3" t="n"/>
      <c r="M24" s="3" t="n"/>
      <c r="N24" s="3" t="n"/>
      <c r="O24" s="3" t="n"/>
      <c r="P24" s="3" t="n"/>
      <c r="Q24" s="3" t="n"/>
      <c r="R24" s="3" t="n"/>
    </row>
    <row r="25" ht="15" customHeight="1">
      <c r="A25" s="3" t="inlineStr">
        <is>
          <t xml:space="preserve">     Kepadatan kendaraan = "Sepi" dinilai dari I-5 saja, dengan alasan indeks trotoar tidak relevan</t>
        </is>
      </c>
      <c r="B25" s="3" t="n"/>
      <c r="C25" s="3" t="n"/>
      <c r="D25" s="3" t="n"/>
      <c r="E25" s="3" t="n"/>
      <c r="F25" s="3" t="n"/>
      <c r="G25" s="3" t="n"/>
      <c r="H25" s="3" t="n"/>
      <c r="I25" s="3" t="n"/>
      <c r="J25" s="3" t="n"/>
      <c r="K25" s="3" t="n"/>
      <c r="L25" s="3" t="n"/>
      <c r="M25" s="3" t="n"/>
      <c r="N25" s="3" t="n"/>
      <c r="O25" s="3" t="n"/>
      <c r="P25" s="3" t="n"/>
      <c r="Q25" s="3" t="n"/>
      <c r="R25" s="3" t="n"/>
    </row>
    <row r="26" ht="15" customHeight="1">
      <c r="A26" s="3" t="inlineStr">
        <is>
          <t xml:space="preserve">     di jalan yang memang tidak membutuhkan trotoar. Bila dipakai, WAJIB dinyatakan di halaman metodologi.</t>
        </is>
      </c>
      <c r="B26" s="3" t="n"/>
      <c r="C26" s="3" t="n"/>
      <c r="D26" s="3" t="n"/>
      <c r="E26" s="3" t="n"/>
      <c r="F26" s="3" t="n"/>
      <c r="G26" s="3" t="n"/>
      <c r="H26" s="3" t="n"/>
      <c r="I26" s="3" t="n"/>
      <c r="J26" s="3" t="n"/>
      <c r="K26" s="3" t="n"/>
      <c r="L26" s="3" t="n"/>
      <c r="M26" s="3" t="n"/>
      <c r="N26" s="3" t="n"/>
      <c r="O26" s="3" t="n"/>
      <c r="P26" s="3" t="n"/>
      <c r="Q26" s="3" t="n"/>
      <c r="R26" s="3" t="n"/>
    </row>
    <row r="27">
      <c r="A27" s="3" t="n"/>
      <c r="B27" s="3" t="n"/>
      <c r="C27" s="3" t="n"/>
      <c r="D27" s="3" t="n"/>
      <c r="E27" s="3" t="n"/>
      <c r="F27" s="3" t="n"/>
      <c r="G27" s="3" t="n"/>
      <c r="H27" s="3" t="n"/>
      <c r="I27" s="3" t="n"/>
      <c r="J27" s="3" t="n"/>
      <c r="K27" s="3" t="n"/>
      <c r="L27" s="3" t="n"/>
      <c r="M27" s="3" t="n"/>
      <c r="N27" s="3" t="n"/>
      <c r="O27" s="3" t="n"/>
      <c r="P27" s="3" t="n"/>
      <c r="Q27" s="3" t="n"/>
      <c r="R27" s="3" t="n"/>
    </row>
    <row r="28" ht="15" customHeight="1">
      <c r="A28" s="8" t="inlineStr">
        <is>
          <t>Contoh pengisian lengkap (data fiktif, hanya untuk acuan pengisian)</t>
        </is>
      </c>
      <c r="B28" s="3" t="n"/>
      <c r="C28" s="3" t="n"/>
      <c r="D28" s="3" t="n"/>
      <c r="E28" s="3" t="n"/>
      <c r="F28" s="3" t="n"/>
      <c r="G28" s="3" t="n"/>
      <c r="H28" s="3" t="n"/>
      <c r="I28" s="3" t="n"/>
      <c r="J28" s="3" t="n"/>
      <c r="K28" s="3" t="n"/>
      <c r="L28" s="3" t="n"/>
      <c r="M28" s="3" t="n"/>
      <c r="N28" s="3" t="n"/>
      <c r="O28" s="3" t="n"/>
      <c r="P28" s="3" t="n"/>
      <c r="Q28" s="3" t="n"/>
      <c r="R28" s="3" t="n"/>
    </row>
    <row r="29">
      <c r="A29" s="3" t="n"/>
      <c r="B29" s="3" t="n"/>
      <c r="C29" s="3" t="n"/>
      <c r="D29" s="3" t="n"/>
      <c r="E29" s="3" t="n"/>
      <c r="F29" s="3" t="n"/>
      <c r="G29" s="3" t="n"/>
      <c r="H29" s="3" t="n"/>
      <c r="I29" s="3" t="n"/>
      <c r="J29" s="3" t="n"/>
      <c r="K29" s="3" t="n"/>
      <c r="L29" s="3" t="n"/>
      <c r="M29" s="3" t="n"/>
      <c r="N29" s="3" t="n"/>
      <c r="O29" s="3" t="n"/>
      <c r="P29" s="3" t="n"/>
      <c r="Q29" s="3" t="n"/>
      <c r="R29" s="3" t="n"/>
    </row>
    <row r="30" ht="15" customHeight="1">
      <c r="A30" s="10" t="inlineStr">
        <is>
          <t>Kode</t>
        </is>
      </c>
      <c r="B30" s="10" t="inlineStr">
        <is>
          <t>Keterangan</t>
        </is>
      </c>
      <c r="C30" s="10" t="inlineStr">
        <is>
          <t>Panjang ruas (m)</t>
        </is>
      </c>
      <c r="D30" s="10" t="inlineStr">
        <is>
          <t>Jenis jalan</t>
        </is>
      </c>
      <c r="E30" s="10" t="inlineStr">
        <is>
          <t>Kepadatan kendaraan</t>
        </is>
      </c>
      <c r="F30" s="10" t="inlineStr">
        <is>
          <t>Trotoar</t>
        </is>
      </c>
      <c r="G30" s="10" t="inlineStr">
        <is>
          <t>Lebar Trotoar (m)</t>
        </is>
      </c>
      <c r="H30" s="10" t="inlineStr">
        <is>
          <t>Panjang trotoar terputus (m)</t>
        </is>
      </c>
      <c r="I30" s="10" t="inlineStr">
        <is>
          <t>Jumlah lubang</t>
        </is>
      </c>
      <c r="J30" s="10" t="inlineStr">
        <is>
          <t>Pejalan turun ke jalan</t>
        </is>
      </c>
      <c r="K30" s="10" t="inlineStr">
        <is>
          <t>I-1</t>
        </is>
      </c>
      <c r="L30" s="10" t="inlineStr">
        <is>
          <t>I-2</t>
        </is>
      </c>
      <c r="M30" s="10" t="inlineStr">
        <is>
          <t>I-3</t>
        </is>
      </c>
      <c r="N30" s="10" t="inlineStr">
        <is>
          <t>I-4</t>
        </is>
      </c>
      <c r="O30" s="10" t="inlineStr">
        <is>
          <t>I-5</t>
        </is>
      </c>
      <c r="P30" s="10" t="inlineStr">
        <is>
          <t>Bobot terpakai</t>
        </is>
      </c>
      <c r="Q30" s="10" t="inlineStr">
        <is>
          <t>W-6</t>
        </is>
      </c>
      <c r="R30" s="10" t="inlineStr">
        <is>
          <t>Status</t>
        </is>
      </c>
    </row>
    <row r="31" ht="15" customHeight="1">
      <c r="A31" s="3" t="inlineStr">
        <is>
          <t>A</t>
        </is>
      </c>
      <c r="B31" s="3" t="inlineStr">
        <is>
          <t>Jalan raya, trotoar utuh</t>
        </is>
      </c>
      <c r="C31" s="11" t="n">
        <v>180</v>
      </c>
      <c r="D31" s="11" t="inlineStr">
        <is>
          <t>Jalan raya</t>
        </is>
      </c>
      <c r="E31" s="11" t="inlineStr">
        <is>
          <t>Ramai</t>
        </is>
      </c>
      <c r="F31" s="11" t="inlineStr">
        <is>
          <t>Ada</t>
        </is>
      </c>
      <c r="G31" s="11" t="n">
        <v>1.8</v>
      </c>
      <c r="H31" s="11" t="n">
        <v>15</v>
      </c>
      <c r="I31" s="11" t="n">
        <v>2</v>
      </c>
      <c r="J31" s="11" t="inlineStr">
        <is>
          <t>Tidak</t>
        </is>
      </c>
      <c r="K31" s="12">
        <f>IF($F31="","",IF($F31="Ada",1,IF($F31="Sebagian",0.5,0)))</f>
        <v/>
      </c>
      <c r="L31" s="12">
        <f>IF($F31="","",IF($F31="Tidak ada",0,IF($G31="","",MIN($G31/$B$9,1))))</f>
        <v/>
      </c>
      <c r="M31" s="12">
        <f>IF($F31="","",IF($F31="Tidak ada",0,IF(OR($H31="",$C31=""),"",MAX(0,1-$H31/$C31))))</f>
        <v/>
      </c>
      <c r="N31" s="12">
        <f>IF(OR($F31="",$F31="Tidak ada"),"",IF(OR($I31="",$C31=""),"",EXP(-$I31/$C31*100/$B$10)))</f>
        <v/>
      </c>
      <c r="O31" s="12">
        <f>IF($J31="","",IF($J31="Tidak",1,0))</f>
        <v/>
      </c>
      <c r="P31" s="12">
        <f>IF(ISNUMBER(K31),$B$4,0)+IF(ISNUMBER(L31),$B$5,0)+IF(ISNUMBER(M31),$B$6,0)+IF(ISNUMBER(N31),$B$7,0)+IF(ISNUMBER(O31),$B$8,0)</f>
        <v/>
      </c>
      <c r="Q31" s="12">
        <f>IF(LEFT(R31,7)&lt;&gt;"Lengkap","",IF(R31="Lengkap (gang)",O31,(IF(ISNUMBER(K31),$B$4*K31,0)+IF(ISNUMBER(L31),$B$5*L31,0)+IF(ISNUMBER(M31),$B$6*M31,0)+IF(ISNUMBER(N31),$B$7*N31,0)+IF(ISNUMBER(O31),$B$8*O31,0))/P31))</f>
        <v/>
      </c>
      <c r="R31" s="3">
        <f>IF(AND($B$11="Ya",$D31="Gang",$E31="Sepi"),IF(ISNUMBER(O31),"Lengkap (gang)","Belum lengkap"),IF(AND(ISNUMBER(K31),ISNUMBER(L31),ISNUMBER(M31),ISNUMBER(O31),OR(ISNUMBER(N31),$F31="Tidak ada")),"Lengkap","Belum lengkap"))</f>
        <v/>
      </c>
    </row>
    <row r="32" ht="15" customHeight="1">
      <c r="A32" s="3" t="inlineStr">
        <is>
          <t>B</t>
        </is>
      </c>
      <c r="B32" s="3" t="inlineStr">
        <is>
          <t>Jalan raya, trotoar rusak</t>
        </is>
      </c>
      <c r="C32" s="11" t="n">
        <v>200</v>
      </c>
      <c r="D32" s="11" t="inlineStr">
        <is>
          <t>Jalan raya</t>
        </is>
      </c>
      <c r="E32" s="11" t="inlineStr">
        <is>
          <t>Ramai</t>
        </is>
      </c>
      <c r="F32" s="11" t="inlineStr">
        <is>
          <t>Ada</t>
        </is>
      </c>
      <c r="G32" s="11" t="n">
        <v>1.1</v>
      </c>
      <c r="H32" s="11" t="n">
        <v>45</v>
      </c>
      <c r="I32" s="11" t="n">
        <v>7</v>
      </c>
      <c r="J32" s="11" t="inlineStr">
        <is>
          <t>Ya</t>
        </is>
      </c>
      <c r="K32" s="12">
        <f>IF($F32="","",IF($F32="Ada",1,IF($F32="Sebagian",0.5,0)))</f>
        <v/>
      </c>
      <c r="L32" s="12">
        <f>IF($F32="","",IF($F32="Tidak ada",0,IF($G32="","",MIN($G32/$B$9,1))))</f>
        <v/>
      </c>
      <c r="M32" s="12">
        <f>IF($F32="","",IF($F32="Tidak ada",0,IF(OR($H32="",$C32=""),"",MAX(0,1-$H32/$C32))))</f>
        <v/>
      </c>
      <c r="N32" s="12">
        <f>IF(OR($F32="",$F32="Tidak ada"),"",IF(OR($I32="",$C32=""),"",EXP(-$I32/$C32*100/$B$10)))</f>
        <v/>
      </c>
      <c r="O32" s="12">
        <f>IF($J32="","",IF($J32="Tidak",1,0))</f>
        <v/>
      </c>
      <c r="P32" s="12">
        <f>IF(ISNUMBER(K32),$B$4,0)+IF(ISNUMBER(L32),$B$5,0)+IF(ISNUMBER(M32),$B$6,0)+IF(ISNUMBER(N32),$B$7,0)+IF(ISNUMBER(O32),$B$8,0)</f>
        <v/>
      </c>
      <c r="Q32" s="12">
        <f>IF(LEFT(R32,7)&lt;&gt;"Lengkap","",IF(R32="Lengkap (gang)",O32,(IF(ISNUMBER(K32),$B$4*K32,0)+IF(ISNUMBER(L32),$B$5*L32,0)+IF(ISNUMBER(M32),$B$6*M32,0)+IF(ISNUMBER(N32),$B$7*N32,0)+IF(ISNUMBER(O32),$B$8*O32,0))/P32))</f>
        <v/>
      </c>
      <c r="R32" s="3">
        <f>IF(AND($B$11="Ya",$D32="Gang",$E32="Sepi"),IF(ISNUMBER(O32),"Lengkap (gang)","Belum lengkap"),IF(AND(ISNUMBER(K32),ISNUMBER(L32),ISNUMBER(M32),ISNUMBER(O32),OR(ISNUMBER(N32),$F32="Tidak ada")),"Lengkap","Belum lengkap"))</f>
        <v/>
      </c>
    </row>
    <row r="33" ht="15" customHeight="1">
      <c r="A33" s="3" t="inlineStr">
        <is>
          <t>C</t>
        </is>
      </c>
      <c r="B33" s="3" t="inlineStr">
        <is>
          <t>Jalan kecil, trotoar sebagian</t>
        </is>
      </c>
      <c r="C33" s="11" t="n">
        <v>150</v>
      </c>
      <c r="D33" s="11" t="inlineStr">
        <is>
          <t>Jalan kecil</t>
        </is>
      </c>
      <c r="E33" s="11" t="inlineStr">
        <is>
          <t>Sedang</t>
        </is>
      </c>
      <c r="F33" s="11" t="inlineStr">
        <is>
          <t>Sebagian</t>
        </is>
      </c>
      <c r="G33" s="11" t="n">
        <v>1.2</v>
      </c>
      <c r="H33" s="11" t="n">
        <v>60</v>
      </c>
      <c r="I33" s="11" t="n">
        <v>4</v>
      </c>
      <c r="J33" s="11" t="inlineStr">
        <is>
          <t>Ya</t>
        </is>
      </c>
      <c r="K33" s="12">
        <f>IF($F33="","",IF($F33="Ada",1,IF($F33="Sebagian",0.5,0)))</f>
        <v/>
      </c>
      <c r="L33" s="12">
        <f>IF($F33="","",IF($F33="Tidak ada",0,IF($G33="","",MIN($G33/$B$9,1))))</f>
        <v/>
      </c>
      <c r="M33" s="12">
        <f>IF($F33="","",IF($F33="Tidak ada",0,IF(OR($H33="",$C33=""),"",MAX(0,1-$H33/$C33))))</f>
        <v/>
      </c>
      <c r="N33" s="12">
        <f>IF(OR($F33="",$F33="Tidak ada"),"",IF(OR($I33="",$C33=""),"",EXP(-$I33/$C33*100/$B$10)))</f>
        <v/>
      </c>
      <c r="O33" s="12">
        <f>IF($J33="","",IF($J33="Tidak",1,0))</f>
        <v/>
      </c>
      <c r="P33" s="12">
        <f>IF(ISNUMBER(K33),$B$4,0)+IF(ISNUMBER(L33),$B$5,0)+IF(ISNUMBER(M33),$B$6,0)+IF(ISNUMBER(N33),$B$7,0)+IF(ISNUMBER(O33),$B$8,0)</f>
        <v/>
      </c>
      <c r="Q33" s="12">
        <f>IF(LEFT(R33,7)&lt;&gt;"Lengkap","",IF(R33="Lengkap (gang)",O33,(IF(ISNUMBER(K33),$B$4*K33,0)+IF(ISNUMBER(L33),$B$5*L33,0)+IF(ISNUMBER(M33),$B$6*M33,0)+IF(ISNUMBER(N33),$B$7*N33,0)+IF(ISNUMBER(O33),$B$8*O33,0))/P33))</f>
        <v/>
      </c>
      <c r="R33" s="3">
        <f>IF(AND($B$11="Ya",$D33="Gang",$E33="Sepi"),IF(ISNUMBER(O33),"Lengkap (gang)","Belum lengkap"),IF(AND(ISNUMBER(K33),ISNUMBER(L33),ISNUMBER(M33),ISNUMBER(O33),OR(ISNUMBER(N33),$F33="Tidak ada")),"Lengkap","Belum lengkap"))</f>
        <v/>
      </c>
    </row>
    <row r="34" ht="15" customHeight="1">
      <c r="A34" s="3" t="inlineStr">
        <is>
          <t>D</t>
        </is>
      </c>
      <c r="B34" s="3" t="inlineStr">
        <is>
          <t>Gang, tanpa trotoar, lalin sepi</t>
        </is>
      </c>
      <c r="C34" s="11" t="n">
        <v>120</v>
      </c>
      <c r="D34" s="11" t="inlineStr">
        <is>
          <t>Gang</t>
        </is>
      </c>
      <c r="E34" s="11" t="inlineStr">
        <is>
          <t>Sepi</t>
        </is>
      </c>
      <c r="F34" s="11" t="inlineStr">
        <is>
          <t>Tidak ada</t>
        </is>
      </c>
      <c r="G34" s="11" t="n"/>
      <c r="H34" s="11" t="n"/>
      <c r="I34" s="11" t="n">
        <v>0</v>
      </c>
      <c r="J34" s="11" t="inlineStr">
        <is>
          <t>Tidak</t>
        </is>
      </c>
      <c r="K34" s="12">
        <f>IF($F34="","",IF($F34="Ada",1,IF($F34="Sebagian",0.5,0)))</f>
        <v/>
      </c>
      <c r="L34" s="12">
        <f>IF($F34="","",IF($F34="Tidak ada",0,IF($G34="","",MIN($G34/$B$9,1))))</f>
        <v/>
      </c>
      <c r="M34" s="12">
        <f>IF($F34="","",IF($F34="Tidak ada",0,IF(OR($H34="",$C34=""),"",MAX(0,1-$H34/$C34))))</f>
        <v/>
      </c>
      <c r="N34" s="12">
        <f>IF(OR($F34="",$F34="Tidak ada"),"",IF(OR($I34="",$C34=""),"",EXP(-$I34/$C34*100/$B$10)))</f>
        <v/>
      </c>
      <c r="O34" s="12">
        <f>IF($J34="","",IF($J34="Tidak",1,0))</f>
        <v/>
      </c>
      <c r="P34" s="12">
        <f>IF(ISNUMBER(K34),$B$4,0)+IF(ISNUMBER(L34),$B$5,0)+IF(ISNUMBER(M34),$B$6,0)+IF(ISNUMBER(N34),$B$7,0)+IF(ISNUMBER(O34),$B$8,0)</f>
        <v/>
      </c>
      <c r="Q34" s="12">
        <f>IF(LEFT(R34,7)&lt;&gt;"Lengkap","",IF(R34="Lengkap (gang)",O34,(IF(ISNUMBER(K34),$B$4*K34,0)+IF(ISNUMBER(L34),$B$5*L34,0)+IF(ISNUMBER(M34),$B$6*M34,0)+IF(ISNUMBER(N34),$B$7*N34,0)+IF(ISNUMBER(O34),$B$8*O34,0))/P34))</f>
        <v/>
      </c>
      <c r="R34" s="3">
        <f>IF(AND($B$11="Ya",$D34="Gang",$E34="Sepi"),IF(ISNUMBER(O34),"Lengkap (gang)","Belum lengkap"),IF(AND(ISNUMBER(K34),ISNUMBER(L34),ISNUMBER(M34),ISNUMBER(O34),OR(ISNUMBER(N34),$F34="Tidak ada")),"Lengkap","Belum lengkap"))</f>
        <v/>
      </c>
    </row>
    <row r="35" ht="15" customHeight="1">
      <c r="A35" s="3" t="inlineStr">
        <is>
          <t>E</t>
        </is>
      </c>
      <c r="B35" s="3" t="inlineStr">
        <is>
          <t>Jalan raya, tanpa trotoar</t>
        </is>
      </c>
      <c r="C35" s="11" t="n">
        <v>160</v>
      </c>
      <c r="D35" s="11" t="inlineStr">
        <is>
          <t>Jalan raya</t>
        </is>
      </c>
      <c r="E35" s="11" t="inlineStr">
        <is>
          <t>Ramai</t>
        </is>
      </c>
      <c r="F35" s="11" t="inlineStr">
        <is>
          <t>Tidak ada</t>
        </is>
      </c>
      <c r="G35" s="11" t="n"/>
      <c r="H35" s="11" t="n"/>
      <c r="I35" s="11" t="n">
        <v>0</v>
      </c>
      <c r="J35" s="11" t="inlineStr">
        <is>
          <t>Ya</t>
        </is>
      </c>
      <c r="K35" s="12">
        <f>IF($F35="","",IF($F35="Ada",1,IF($F35="Sebagian",0.5,0)))</f>
        <v/>
      </c>
      <c r="L35" s="12">
        <f>IF($F35="","",IF($F35="Tidak ada",0,IF($G35="","",MIN($G35/$B$9,1))))</f>
        <v/>
      </c>
      <c r="M35" s="12">
        <f>IF($F35="","",IF($F35="Tidak ada",0,IF(OR($H35="",$C35=""),"",MAX(0,1-$H35/$C35))))</f>
        <v/>
      </c>
      <c r="N35" s="12">
        <f>IF(OR($F35="",$F35="Tidak ada"),"",IF(OR($I35="",$C35=""),"",EXP(-$I35/$C35*100/$B$10)))</f>
        <v/>
      </c>
      <c r="O35" s="12">
        <f>IF($J35="","",IF($J35="Tidak",1,0))</f>
        <v/>
      </c>
      <c r="P35" s="12">
        <f>IF(ISNUMBER(K35),$B$4,0)+IF(ISNUMBER(L35),$B$5,0)+IF(ISNUMBER(M35),$B$6,0)+IF(ISNUMBER(N35),$B$7,0)+IF(ISNUMBER(O35),$B$8,0)</f>
        <v/>
      </c>
      <c r="Q35" s="12">
        <f>IF(LEFT(R35,7)&lt;&gt;"Lengkap","",IF(R35="Lengkap (gang)",O35,(IF(ISNUMBER(K35),$B$4*K35,0)+IF(ISNUMBER(L35),$B$5*L35,0)+IF(ISNUMBER(M35),$B$6*M35,0)+IF(ISNUMBER(N35),$B$7*N35,0)+IF(ISNUMBER(O35),$B$8*O35,0))/P35))</f>
        <v/>
      </c>
      <c r="R35" s="3">
        <f>IF(AND($B$11="Ya",$D35="Gang",$E35="Sepi"),IF(ISNUMBER(O35),"Lengkap (gang)","Belum lengkap"),IF(AND(ISNUMBER(K35),ISNUMBER(L35),ISNUMBER(M35),ISNUMBER(O35),OR(ISNUMBER(N35),$F35="Tidak ada")),"Lengkap","Belum lengkap"))</f>
        <v/>
      </c>
    </row>
    <row r="36">
      <c r="A36" s="3" t="n"/>
      <c r="B36" s="3" t="n"/>
      <c r="C36" s="3" t="n"/>
      <c r="D36" s="3" t="n"/>
      <c r="E36" s="3" t="n"/>
      <c r="F36" s="3" t="n"/>
      <c r="G36" s="3" t="n"/>
      <c r="H36" s="3" t="n"/>
      <c r="I36" s="3" t="n"/>
      <c r="J36" s="3" t="n"/>
      <c r="K36" s="3" t="n"/>
      <c r="L36" s="3" t="n"/>
      <c r="M36" s="3" t="n"/>
      <c r="N36" s="3" t="n"/>
      <c r="O36" s="3" t="n"/>
      <c r="P36" s="3" t="n"/>
      <c r="Q36" s="3" t="n"/>
      <c r="R36" s="3" t="n"/>
    </row>
    <row r="37" ht="15" customHeight="1">
      <c r="A37" s="3" t="inlineStr">
        <is>
          <t>Sel biru = isian surveyor. Kolom I-1 sampai W-6 dihitung otomatis, jangan diketik manual.</t>
        </is>
      </c>
      <c r="B37" s="3" t="n"/>
      <c r="C37" s="3" t="n"/>
      <c r="D37" s="3" t="n"/>
      <c r="E37" s="3" t="n"/>
      <c r="F37" s="3" t="n"/>
      <c r="G37" s="3" t="n"/>
      <c r="H37" s="3" t="n"/>
      <c r="I37" s="3" t="n"/>
      <c r="J37" s="3" t="n"/>
      <c r="K37" s="3" t="n"/>
      <c r="L37" s="3" t="n"/>
      <c r="M37" s="3" t="n"/>
      <c r="N37" s="3" t="n"/>
      <c r="O37" s="3" t="n"/>
      <c r="P37" s="3" t="n"/>
      <c r="Q37" s="3" t="n"/>
      <c r="R37" s="3" t="n"/>
    </row>
    <row r="38" ht="15" customHeight="1">
      <c r="A38" s="3" t="inlineStr">
        <is>
          <t>Baris D dan E sengaja mengosongkan lebar dan panjang terputus: untuk ruas tanpa trotoar,</t>
        </is>
      </c>
      <c r="B38" s="3" t="n"/>
      <c r="C38" s="3" t="n"/>
      <c r="D38" s="3" t="n"/>
      <c r="E38" s="3" t="n"/>
      <c r="F38" s="3" t="n"/>
      <c r="G38" s="3" t="n"/>
      <c r="H38" s="3" t="n"/>
      <c r="I38" s="3" t="n"/>
      <c r="J38" s="3" t="n"/>
      <c r="K38" s="3" t="n"/>
      <c r="L38" s="3" t="n"/>
      <c r="M38" s="3" t="n"/>
      <c r="N38" s="3" t="n"/>
      <c r="O38" s="3" t="n"/>
      <c r="P38" s="3" t="n"/>
      <c r="Q38" s="3" t="n"/>
      <c r="R38" s="3" t="n"/>
    </row>
    <row r="39" ht="15" customHeight="1">
      <c r="A39" s="3" t="inlineStr">
        <is>
          <t>kedua kolom itu memang tidak ada yang bisa diukur, dan rumus sudah menanganinya.</t>
        </is>
      </c>
      <c r="B39" s="3" t="n"/>
      <c r="C39" s="3" t="n"/>
      <c r="D39" s="3" t="n"/>
      <c r="E39" s="3" t="n"/>
      <c r="F39" s="3" t="n"/>
      <c r="G39" s="3" t="n"/>
      <c r="H39" s="3" t="n"/>
      <c r="I39" s="3" t="n"/>
      <c r="J39" s="3" t="n"/>
      <c r="K39" s="3" t="n"/>
      <c r="L39" s="3" t="n"/>
      <c r="M39" s="3" t="n"/>
      <c r="N39" s="3" t="n"/>
      <c r="O39" s="3" t="n"/>
      <c r="P39" s="3" t="n"/>
      <c r="Q39" s="3" t="n"/>
      <c r="R39" s="3" t="n"/>
    </row>
    <row r="40">
      <c r="A40" s="3" t="n"/>
      <c r="B40" s="3" t="n"/>
      <c r="C40" s="3" t="n"/>
      <c r="D40" s="3" t="n"/>
      <c r="E40" s="3" t="n"/>
      <c r="F40" s="3" t="n"/>
      <c r="G40" s="3" t="n"/>
      <c r="H40" s="3" t="n"/>
      <c r="I40" s="3" t="n"/>
      <c r="J40" s="3" t="n"/>
      <c r="K40" s="3" t="n"/>
      <c r="L40" s="3" t="n"/>
      <c r="M40" s="3" t="n"/>
      <c r="N40" s="3" t="n"/>
      <c r="O40" s="3" t="n"/>
      <c r="P40" s="3" t="n"/>
      <c r="Q40" s="3" t="n"/>
      <c r="R40" s="3" t="n"/>
    </row>
    <row r="41" ht="15" customHeight="1">
      <c r="A41" s="8" t="inlineStr">
        <is>
          <t>Ringkasan sheet Ruas</t>
        </is>
      </c>
      <c r="B41" s="3" t="n"/>
      <c r="C41" s="3" t="n"/>
      <c r="D41" s="3" t="n"/>
      <c r="E41" s="3" t="n"/>
      <c r="F41" s="3" t="n"/>
      <c r="G41" s="3" t="n"/>
      <c r="H41" s="3" t="n"/>
      <c r="I41" s="3" t="n"/>
      <c r="J41" s="3" t="n"/>
      <c r="K41" s="3" t="n"/>
      <c r="L41" s="3" t="n"/>
      <c r="M41" s="3" t="n"/>
      <c r="N41" s="3" t="n"/>
      <c r="O41" s="3" t="n"/>
      <c r="P41" s="3" t="n"/>
      <c r="Q41" s="3" t="n"/>
      <c r="R41" s="3" t="n"/>
    </row>
    <row r="42" ht="15" customHeight="1">
      <c r="A42" s="3" t="inlineStr">
        <is>
          <t>Ruas dengan W-6 lengkap</t>
        </is>
      </c>
      <c r="B42" s="13">
        <f>COUNTIF(Ruas!AJ2:AJ85,"Lengkap*")</f>
        <v/>
      </c>
      <c r="C42" s="3" t="n"/>
      <c r="D42" s="3" t="n"/>
      <c r="E42" s="3" t="n"/>
      <c r="F42" s="3" t="n"/>
      <c r="G42" s="3" t="n"/>
      <c r="H42" s="3" t="n"/>
      <c r="I42" s="3" t="n"/>
      <c r="J42" s="3" t="n"/>
      <c r="K42" s="3" t="n"/>
      <c r="L42" s="3" t="n"/>
      <c r="M42" s="3" t="n"/>
      <c r="N42" s="3" t="n"/>
      <c r="O42" s="3" t="n"/>
      <c r="P42" s="3" t="n"/>
      <c r="Q42" s="3" t="n"/>
      <c r="R42" s="3" t="n"/>
    </row>
    <row r="43" ht="15" customHeight="1">
      <c r="A43" s="3" t="inlineStr">
        <is>
          <t>Ruas belum lengkap</t>
        </is>
      </c>
      <c r="B43" s="13">
        <f>COUNTIF(Ruas!AJ2:AJ85,"Belum lengkap")</f>
        <v/>
      </c>
      <c r="C43" s="3" t="n"/>
      <c r="D43" s="3" t="n"/>
      <c r="E43" s="3" t="n"/>
      <c r="F43" s="3" t="n"/>
      <c r="G43" s="3" t="n"/>
      <c r="H43" s="3" t="n"/>
      <c r="I43" s="3" t="n"/>
      <c r="J43" s="3" t="n"/>
      <c r="K43" s="3" t="n"/>
      <c r="L43" s="3" t="n"/>
      <c r="M43" s="3" t="n"/>
      <c r="N43" s="3" t="n"/>
      <c r="O43" s="3" t="n"/>
      <c r="P43" s="3" t="n"/>
      <c r="Q43" s="3" t="n"/>
      <c r="R43" s="3" t="n"/>
    </row>
    <row r="44" ht="15" customHeight="1">
      <c r="A44" s="3" t="inlineStr">
        <is>
          <t>Rata-rata W-6</t>
        </is>
      </c>
      <c r="B44" s="12">
        <f>IFERROR(AVERAGE(Ruas!AI2:AI85),"")</f>
        <v/>
      </c>
      <c r="C44" s="3" t="n"/>
      <c r="D44" s="3" t="n"/>
      <c r="E44" s="3" t="n"/>
      <c r="F44" s="3" t="n"/>
      <c r="G44" s="3" t="n"/>
      <c r="H44" s="3" t="n"/>
      <c r="I44" s="3" t="n"/>
      <c r="J44" s="3" t="n"/>
      <c r="K44" s="3" t="n"/>
      <c r="L44" s="3" t="n"/>
      <c r="M44" s="3" t="n"/>
      <c r="N44" s="3" t="n"/>
      <c r="O44" s="3" t="n"/>
      <c r="P44" s="3" t="n"/>
      <c r="Q44" s="3" t="n"/>
      <c r="R44" s="3" t="n"/>
    </row>
    <row r="45" ht="15" customHeight="1">
      <c r="A45" s="3" t="inlineStr">
        <is>
          <t>W-6 minimum</t>
        </is>
      </c>
      <c r="B45" s="12">
        <f>IFERROR(MIN(Ruas!AI2:AI85),"")</f>
        <v/>
      </c>
      <c r="C45" s="3" t="n"/>
      <c r="D45" s="3" t="n"/>
      <c r="E45" s="3" t="n"/>
      <c r="F45" s="3" t="n"/>
      <c r="G45" s="3" t="n"/>
      <c r="H45" s="3" t="n"/>
      <c r="I45" s="3" t="n"/>
      <c r="J45" s="3" t="n"/>
      <c r="K45" s="3" t="n"/>
      <c r="L45" s="3" t="n"/>
      <c r="M45" s="3" t="n"/>
      <c r="N45" s="3" t="n"/>
      <c r="O45" s="3" t="n"/>
      <c r="P45" s="3" t="n"/>
      <c r="Q45" s="3" t="n"/>
      <c r="R45" s="3" t="n"/>
    </row>
    <row r="46" ht="15" customHeight="1">
      <c r="A46" s="3" t="inlineStr">
        <is>
          <t>W-6 maksimum</t>
        </is>
      </c>
      <c r="B46" s="12">
        <f>IFERROR(MAX(Ruas!AI2:AI85),"")</f>
        <v/>
      </c>
      <c r="C46" s="3" t="n"/>
      <c r="D46" s="3" t="n"/>
      <c r="E46" s="3" t="n"/>
      <c r="F46" s="3" t="n"/>
      <c r="G46" s="3" t="n"/>
      <c r="H46" s="3" t="n"/>
      <c r="I46" s="3" t="n"/>
      <c r="J46" s="3" t="n"/>
      <c r="K46" s="3" t="n"/>
      <c r="L46" s="3" t="n"/>
      <c r="M46" s="3" t="n"/>
      <c r="N46" s="3" t="n"/>
      <c r="O46" s="3" t="n"/>
      <c r="P46" s="3" t="n"/>
      <c r="Q46" s="3" t="n"/>
      <c r="R46" s="3" t="n"/>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G93"/>
  <sheetViews>
    <sheetView zoomScaleNormal="100" workbookViewId="0">
      <pane ySplit="1" topLeftCell="A2" activePane="bottomLeft" state="frozen"/>
      <selection pane="bottomLeft" activeCell="A1" sqref="A1"/>
    </sheetView>
  </sheetViews>
  <sheetFormatPr baseColWidth="8" defaultColWidth="8.6640625" defaultRowHeight="14.4"/>
  <cols>
    <col width="11" customWidth="1" min="1" max="1"/>
    <col width="10" customWidth="1" min="2" max="3"/>
    <col width="33" customWidth="1" min="4" max="4"/>
    <col width="46" customWidth="1" min="5" max="5"/>
    <col width="18" customWidth="1" min="6" max="6"/>
    <col width="46" customWidth="1" min="7" max="7"/>
  </cols>
  <sheetData>
    <row r="1" ht="30" customHeight="1">
      <c r="A1" s="1" t="inlineStr">
        <is>
          <t>Prioritas</t>
        </is>
      </c>
      <c r="B1" s="1" t="inlineStr">
        <is>
          <t>Sheet</t>
        </is>
      </c>
      <c r="C1" s="1" t="inlineStr">
        <is>
          <t>ID</t>
        </is>
      </c>
      <c r="D1" s="1" t="inlineStr">
        <is>
          <t>Kolom</t>
        </is>
      </c>
      <c r="E1" s="1" t="inlineStr">
        <is>
          <t>Nilai_asli</t>
        </is>
      </c>
      <c r="F1" s="1" t="inlineStr">
        <is>
          <t>Tindakan</t>
        </is>
      </c>
      <c r="G1" s="1" t="inlineStr">
        <is>
          <t>Alasan</t>
        </is>
      </c>
    </row>
    <row r="2" ht="15" customHeight="1">
      <c r="A2" s="15" t="inlineStr">
        <is>
          <t>1 TINGGI</t>
        </is>
      </c>
      <c r="B2" s="3" t="inlineStr">
        <is>
          <t>Halte</t>
        </is>
      </c>
      <c r="C2" s="3" t="inlineStr">
        <is>
          <t>HLT-001</t>
        </is>
      </c>
      <c r="D2" s="3" t="inlineStr">
        <is>
          <t>Koridor</t>
        </is>
      </c>
      <c r="E2" s="3" t="inlineStr">
        <is>
          <t>2026-12-14 00:00:00</t>
        </is>
      </c>
      <c r="F2" s="3" t="inlineStr">
        <is>
          <t>DIKOSONGKAN</t>
        </is>
      </c>
      <c r="G2" s="3" t="inlineStr">
        <is>
          <t>Excel mengubah daftar koridor jadi tanggal; perlu konfirmasi surveyor</t>
        </is>
      </c>
    </row>
    <row r="3" ht="15" customHeight="1">
      <c r="A3" s="15" t="inlineStr">
        <is>
          <t>1 TINGGI</t>
        </is>
      </c>
      <c r="B3" s="3" t="inlineStr">
        <is>
          <t>Kos</t>
        </is>
      </c>
      <c r="C3" s="3" t="inlineStr">
        <is>
          <t>KOS-005</t>
        </is>
      </c>
      <c r="D3" s="3" t="inlineStr">
        <is>
          <t>Harga per bulan</t>
        </is>
      </c>
      <c r="E3" s="3" t="inlineStr">
        <is>
          <t>450rb/250rb</t>
        </is>
      </c>
      <c r="F3" s="3" t="inlineStr">
        <is>
          <t>dibiarkan</t>
        </is>
      </c>
      <c r="G3" s="3" t="inlineStr">
        <is>
          <t>tingkat terendah Rp250,000 tidak wajar untuk sewa bulanan; mungkin harian/mingguan - perlu konfirmasi</t>
        </is>
      </c>
    </row>
    <row r="4" ht="15" customHeight="1">
      <c r="A4" s="15" t="inlineStr">
        <is>
          <t>1 TINGGI</t>
        </is>
      </c>
      <c r="B4" s="3" t="inlineStr">
        <is>
          <t>Kos</t>
        </is>
      </c>
      <c r="C4" s="3" t="inlineStr">
        <is>
          <t>KOS-022</t>
        </is>
      </c>
      <c r="D4" s="3" t="inlineStr">
        <is>
          <t>Harga per bulan</t>
        </is>
      </c>
      <c r="E4" s="3" t="inlineStr">
        <is>
          <t>nan</t>
        </is>
      </c>
      <c r="F4" s="3" t="inlineStr">
        <is>
          <t>dikosongkan</t>
        </is>
      </c>
      <c r="G4" s="3" t="inlineStr">
        <is>
          <t>harga tidak dicatat</t>
        </is>
      </c>
    </row>
    <row r="5" ht="15" customHeight="1">
      <c r="A5" s="15" t="inlineStr">
        <is>
          <t>1 TINGGI</t>
        </is>
      </c>
      <c r="B5" s="3" t="inlineStr">
        <is>
          <t>Kos</t>
        </is>
      </c>
      <c r="C5" s="3" t="inlineStr">
        <is>
          <t>KOS-025</t>
        </is>
      </c>
      <c r="D5" s="3" t="inlineStr">
        <is>
          <t>Harga per bulan</t>
        </is>
      </c>
      <c r="E5" s="3" t="inlineStr">
        <is>
          <t>nan</t>
        </is>
      </c>
      <c r="F5" s="3" t="inlineStr">
        <is>
          <t>dikosongkan</t>
        </is>
      </c>
      <c r="G5" s="3" t="inlineStr">
        <is>
          <t>harga tidak dicatat</t>
        </is>
      </c>
    </row>
    <row r="6" ht="15" customHeight="1">
      <c r="A6" s="15" t="inlineStr">
        <is>
          <t>1 TINGGI</t>
        </is>
      </c>
      <c r="B6" s="3" t="inlineStr">
        <is>
          <t>Ruas</t>
        </is>
      </c>
      <c r="C6" s="3" t="inlineStr">
        <is>
          <t>RUAS-021</t>
        </is>
      </c>
      <c r="D6" s="3" t="inlineStr">
        <is>
          <t>W-6</t>
        </is>
      </c>
      <c r="E6" s="3" t="inlineStr">
        <is>
          <t>Pejalan turun ke jalan</t>
        </is>
      </c>
      <c r="F6" s="3" t="inlineStr">
        <is>
          <t>W6 dikosongkan</t>
        </is>
      </c>
      <c r="G6" s="3" t="inlineStr">
        <is>
          <t>kolom sumber W-6 belum terisi</t>
        </is>
      </c>
    </row>
    <row r="7" ht="15" customHeight="1">
      <c r="A7" s="15" t="inlineStr">
        <is>
          <t>1 TINGGI</t>
        </is>
      </c>
      <c r="B7" s="3" t="inlineStr">
        <is>
          <t>Ruas</t>
        </is>
      </c>
      <c r="C7" s="3" t="inlineStr">
        <is>
          <t>RUAS-042</t>
        </is>
      </c>
      <c r="D7" s="3" t="inlineStr">
        <is>
          <t>W-6</t>
        </is>
      </c>
      <c r="E7" s="3" t="inlineStr">
        <is>
          <t>Trotoar</t>
        </is>
      </c>
      <c r="F7" s="3" t="inlineStr">
        <is>
          <t>W6 dikosongkan</t>
        </is>
      </c>
      <c r="G7" s="3" t="inlineStr">
        <is>
          <t>kolom sumber W-6 belum terisi</t>
        </is>
      </c>
    </row>
    <row r="8" ht="15" customHeight="1">
      <c r="A8" s="15" t="inlineStr">
        <is>
          <t>1 TINGGI</t>
        </is>
      </c>
      <c r="B8" s="3" t="inlineStr">
        <is>
          <t>Ruas</t>
        </is>
      </c>
      <c r="C8" s="3" t="inlineStr">
        <is>
          <t>RUAS-059</t>
        </is>
      </c>
      <c r="D8" s="3" t="inlineStr">
        <is>
          <t>W-6</t>
        </is>
      </c>
      <c r="E8" s="3" t="inlineStr">
        <is>
          <t>Panjang trotoar terputus (m)</t>
        </is>
      </c>
      <c r="F8" s="3" t="inlineStr">
        <is>
          <t>W6 dikosongkan</t>
        </is>
      </c>
      <c r="G8" s="3" t="inlineStr">
        <is>
          <t>kolom sumber W-6 belum terisi</t>
        </is>
      </c>
    </row>
    <row r="9" ht="15" customHeight="1">
      <c r="A9" s="15" t="inlineStr">
        <is>
          <t>1 TINGGI</t>
        </is>
      </c>
      <c r="B9" s="3" t="inlineStr">
        <is>
          <t>Ruas</t>
        </is>
      </c>
      <c r="C9" s="3" t="inlineStr">
        <is>
          <t>RUAS-061</t>
        </is>
      </c>
      <c r="D9" s="3" t="inlineStr">
        <is>
          <t>W-6</t>
        </is>
      </c>
      <c r="E9" s="3" t="inlineStr">
        <is>
          <t>Trotoar; Lebar Trotoar (m); Panjang trotoar terputus (m); Jumlah lubang atau paving lepas; Pejalan turun ke jalan</t>
        </is>
      </c>
      <c r="F9" s="3" t="inlineStr">
        <is>
          <t>W6 dikosongkan</t>
        </is>
      </c>
      <c r="G9" s="3" t="inlineStr">
        <is>
          <t>kolom sumber W-6 belum terisi</t>
        </is>
      </c>
    </row>
    <row r="10" ht="15" customHeight="1">
      <c r="A10" s="15" t="inlineStr">
        <is>
          <t>1 TINGGI</t>
        </is>
      </c>
      <c r="B10" s="3" t="inlineStr">
        <is>
          <t>Ruas</t>
        </is>
      </c>
      <c r="C10" s="3" t="inlineStr">
        <is>
          <t>RUAS-062</t>
        </is>
      </c>
      <c r="D10" s="3" t="inlineStr">
        <is>
          <t>W-6</t>
        </is>
      </c>
      <c r="E10" s="3" t="inlineStr">
        <is>
          <t>Trotoar; Lebar Trotoar (m); Panjang trotoar terputus (m); Jumlah lubang atau paving lepas; Pejalan turun ke jalan</t>
        </is>
      </c>
      <c r="F10" s="3" t="inlineStr">
        <is>
          <t>W6 dikosongkan</t>
        </is>
      </c>
      <c r="G10" s="3" t="inlineStr">
        <is>
          <t>kolom sumber W-6 belum terisi</t>
        </is>
      </c>
    </row>
    <row r="11" ht="15" customHeight="1">
      <c r="A11" s="15" t="inlineStr">
        <is>
          <t>1 TINGGI</t>
        </is>
      </c>
      <c r="B11" s="3" t="inlineStr">
        <is>
          <t>Ruas</t>
        </is>
      </c>
      <c r="C11" s="3" t="inlineStr">
        <is>
          <t>RUAS-063</t>
        </is>
      </c>
      <c r="D11" s="3" t="inlineStr">
        <is>
          <t>W-6</t>
        </is>
      </c>
      <c r="E11" s="3" t="inlineStr">
        <is>
          <t>Lebar Trotoar (m); Panjang trotoar terputus (m)</t>
        </is>
      </c>
      <c r="F11" s="3" t="inlineStr">
        <is>
          <t>W6 dikosongkan</t>
        </is>
      </c>
      <c r="G11" s="3" t="inlineStr">
        <is>
          <t>kolom sumber W-6 belum terisi</t>
        </is>
      </c>
    </row>
    <row r="12" ht="15" customHeight="1">
      <c r="A12" s="15" t="inlineStr">
        <is>
          <t>1 TINGGI</t>
        </is>
      </c>
      <c r="B12" s="3" t="inlineStr">
        <is>
          <t>Ruas</t>
        </is>
      </c>
      <c r="C12" s="3" t="inlineStr">
        <is>
          <t>RUAS-064</t>
        </is>
      </c>
      <c r="D12" s="3" t="inlineStr">
        <is>
          <t>Jarak antar tiang (m)</t>
        </is>
      </c>
      <c r="E12" s="3" t="inlineStr">
        <is>
          <t>berbeda2, tergantung jenus lampu</t>
        </is>
      </c>
      <c r="F12" s="3" t="inlineStr">
        <is>
          <t>dikosongkan</t>
        </is>
      </c>
      <c r="G12" s="3" t="inlineStr">
        <is>
          <t>tidak ada angka; perlu keputusan manual</t>
        </is>
      </c>
    </row>
    <row r="13" ht="15" customHeight="1">
      <c r="A13" s="15" t="inlineStr">
        <is>
          <t>1 TINGGI</t>
        </is>
      </c>
      <c r="B13" s="3" t="inlineStr">
        <is>
          <t>Ruas</t>
        </is>
      </c>
      <c r="C13" s="3" t="inlineStr">
        <is>
          <t>RUAS-067</t>
        </is>
      </c>
      <c r="D13" s="3" t="inlineStr">
        <is>
          <t>W-6</t>
        </is>
      </c>
      <c r="E13" s="3" t="inlineStr">
        <is>
          <t>Jumlah lubang atau paving lepas</t>
        </is>
      </c>
      <c r="F13" s="3" t="inlineStr">
        <is>
          <t>W6 dikosongkan</t>
        </is>
      </c>
      <c r="G13" s="3" t="inlineStr">
        <is>
          <t>kolom sumber W-6 belum terisi</t>
        </is>
      </c>
    </row>
    <row r="14" ht="15" customHeight="1">
      <c r="A14" s="15" t="inlineStr">
        <is>
          <t>1 TINGGI</t>
        </is>
      </c>
      <c r="B14" s="3" t="inlineStr">
        <is>
          <t>Ruas</t>
        </is>
      </c>
      <c r="C14" s="3" t="inlineStr">
        <is>
          <t>RUAS-071</t>
        </is>
      </c>
      <c r="D14" s="3" t="inlineStr">
        <is>
          <t>W-6</t>
        </is>
      </c>
      <c r="E14" s="3" t="inlineStr">
        <is>
          <t>Trotoar; Lebar Trotoar (m); Panjang trotoar terputus (m)</t>
        </is>
      </c>
      <c r="F14" s="3" t="inlineStr">
        <is>
          <t>W6 dikosongkan</t>
        </is>
      </c>
      <c r="G14" s="3" t="inlineStr">
        <is>
          <t>kolom sumber W-6 belum terisi</t>
        </is>
      </c>
    </row>
    <row r="15" ht="15" customHeight="1">
      <c r="A15" s="15" t="inlineStr">
        <is>
          <t>1 TINGGI</t>
        </is>
      </c>
      <c r="B15" s="3" t="inlineStr">
        <is>
          <t>Ruas</t>
        </is>
      </c>
      <c r="C15" s="3" t="inlineStr">
        <is>
          <t>RUAS-076</t>
        </is>
      </c>
      <c r="D15" s="3" t="inlineStr">
        <is>
          <t>Jumlah lubang atau paving lepas</t>
        </is>
      </c>
      <c r="E15" s="3" t="inlineStr">
        <is>
          <t>banyak (trotoar jelek, rusak)</t>
        </is>
      </c>
      <c r="F15" s="3" t="inlineStr">
        <is>
          <t>dikosongkan</t>
        </is>
      </c>
      <c r="G15" s="3" t="inlineStr">
        <is>
          <t>tidak ada angka; perlu keputusan manual</t>
        </is>
      </c>
    </row>
    <row r="16" ht="15" customHeight="1">
      <c r="A16" s="15" t="inlineStr">
        <is>
          <t>1 TINGGI</t>
        </is>
      </c>
      <c r="B16" s="3" t="inlineStr">
        <is>
          <t>Ruas</t>
        </is>
      </c>
      <c r="C16" s="3" t="inlineStr">
        <is>
          <t>RUAS-076</t>
        </is>
      </c>
      <c r="D16" s="3" t="inlineStr">
        <is>
          <t>W-6</t>
        </is>
      </c>
      <c r="E16" s="3" t="inlineStr">
        <is>
          <t>Panjang trotoar terputus (m); Jumlah lubang atau paving lepas</t>
        </is>
      </c>
      <c r="F16" s="3" t="inlineStr">
        <is>
          <t>W6 dikosongkan</t>
        </is>
      </c>
      <c r="G16" s="3" t="inlineStr">
        <is>
          <t>kolom sumber W-6 belum terisi</t>
        </is>
      </c>
    </row>
    <row r="17" ht="15" customHeight="1">
      <c r="A17" s="16" t="inlineStr">
        <is>
          <t>2 SEDANG</t>
        </is>
      </c>
      <c r="B17" s="3" t="inlineStr">
        <is>
          <t>Ekonomi</t>
        </is>
      </c>
      <c r="C17" s="3" t="inlineStr">
        <is>
          <t>EKO-002</t>
        </is>
      </c>
      <c r="D17" s="3" t="inlineStr">
        <is>
          <t>Tanggal</t>
        </is>
      </c>
      <c r="E17" s="3" t="inlineStr">
        <is>
          <t>kosong</t>
        </is>
      </c>
      <c r="F17" s="3" t="inlineStr">
        <is>
          <t>-&gt; 2026-08-16</t>
        </is>
      </c>
      <c r="G17" s="3" t="inlineStr">
        <is>
          <t>diisi dari "Day 1" (peta hari otoritatif)</t>
        </is>
      </c>
    </row>
    <row r="18" ht="15" customHeight="1">
      <c r="A18" s="16" t="inlineStr">
        <is>
          <t>2 SEDANG</t>
        </is>
      </c>
      <c r="B18" s="3" t="inlineStr">
        <is>
          <t>Ekonomi</t>
        </is>
      </c>
      <c r="C18" s="3" t="inlineStr">
        <is>
          <t>EKO-010</t>
        </is>
      </c>
      <c r="D18" s="3" t="inlineStr">
        <is>
          <t>Tanggal</t>
        </is>
      </c>
      <c r="E18" s="3" t="inlineStr">
        <is>
          <t>2026-08-17</t>
        </is>
      </c>
      <c r="F18" s="3" t="inlineStr">
        <is>
          <t>-&gt; 2026-08-18</t>
        </is>
      </c>
      <c r="G18" s="3" t="inlineStr">
        <is>
          <t>bertentangan dengan "Day 3"; Day dipakai sebagai acuan, tanggal tercatat diganti</t>
        </is>
      </c>
    </row>
    <row r="19" ht="15" customHeight="1">
      <c r="A19" s="16" t="inlineStr">
        <is>
          <t>2 SEDANG</t>
        </is>
      </c>
      <c r="B19" s="3" t="inlineStr">
        <is>
          <t>Ekonomi</t>
        </is>
      </c>
      <c r="C19" s="3" t="inlineStr">
        <is>
          <t>EKO-012</t>
        </is>
      </c>
      <c r="D19" s="3" t="inlineStr">
        <is>
          <t>Tanggal</t>
        </is>
      </c>
      <c r="E19" s="3" t="inlineStr">
        <is>
          <t>2026-08-18</t>
        </is>
      </c>
      <c r="F19" s="3" t="inlineStr">
        <is>
          <t>-&gt; 2026-08-24</t>
        </is>
      </c>
      <c r="G19" s="3" t="inlineStr">
        <is>
          <t>bertentangan dengan "Day 4"; Day dipakai sebagai acuan, tanggal tercatat diganti</t>
        </is>
      </c>
    </row>
    <row r="20" ht="15" customHeight="1">
      <c r="A20" s="16" t="inlineStr">
        <is>
          <t>2 SEDANG</t>
        </is>
      </c>
      <c r="B20" s="3" t="inlineStr">
        <is>
          <t>Halte</t>
        </is>
      </c>
      <c r="C20" s="3" t="inlineStr">
        <is>
          <t>HLT-010</t>
        </is>
      </c>
      <c r="D20" s="3" t="inlineStr">
        <is>
          <t>Tanggal</t>
        </is>
      </c>
      <c r="E20" s="3" t="inlineStr">
        <is>
          <t>2026-08-17</t>
        </is>
      </c>
      <c r="F20" s="3" t="inlineStr">
        <is>
          <t>-&gt; 2026-08-18</t>
        </is>
      </c>
      <c r="G20" s="3" t="inlineStr">
        <is>
          <t>bertentangan dengan "Day 3"; Day dipakai sebagai acuan, tanggal tercatat diganti</t>
        </is>
      </c>
    </row>
    <row r="21" ht="15" customHeight="1">
      <c r="A21" s="16" t="inlineStr">
        <is>
          <t>2 SEDANG</t>
        </is>
      </c>
      <c r="B21" s="3" t="inlineStr">
        <is>
          <t>Kos</t>
        </is>
      </c>
      <c r="C21" s="3" t="inlineStr">
        <is>
          <t>KOS-001</t>
        </is>
      </c>
      <c r="D21" s="3" t="inlineStr">
        <is>
          <t>Harga per bulan</t>
        </is>
      </c>
      <c r="E21" s="3" t="inlineStr">
        <is>
          <t>775rb/1.2jt</t>
        </is>
      </c>
      <c r="F21" s="3" t="inlineStr">
        <is>
          <t>median 987,500</t>
        </is>
      </c>
      <c r="G21" s="3" t="inlineStr">
        <is>
          <t>beberapa tingkat harga</t>
        </is>
      </c>
    </row>
    <row r="22" ht="15" customHeight="1">
      <c r="A22" s="16" t="inlineStr">
        <is>
          <t>2 SEDANG</t>
        </is>
      </c>
      <c r="B22" s="3" t="inlineStr">
        <is>
          <t>Kos</t>
        </is>
      </c>
      <c r="C22" s="3" t="inlineStr">
        <is>
          <t>KOS-003</t>
        </is>
      </c>
      <c r="D22" s="3" t="inlineStr">
        <is>
          <t>Harga per bulan</t>
        </is>
      </c>
      <c r="E22" s="3" t="inlineStr">
        <is>
          <t>850k-800k-800k</t>
        </is>
      </c>
      <c r="F22" s="3" t="inlineStr">
        <is>
          <t>median 800,000</t>
        </is>
      </c>
      <c r="G22" s="3" t="inlineStr">
        <is>
          <t>beberapa tingkat harga</t>
        </is>
      </c>
    </row>
    <row r="23" ht="15" customHeight="1">
      <c r="A23" s="16" t="inlineStr">
        <is>
          <t>2 SEDANG</t>
        </is>
      </c>
      <c r="B23" s="3" t="inlineStr">
        <is>
          <t>Kos</t>
        </is>
      </c>
      <c r="C23" s="3" t="inlineStr">
        <is>
          <t>KOS-005</t>
        </is>
      </c>
      <c r="D23" s="3" t="inlineStr">
        <is>
          <t>Harga per bulan</t>
        </is>
      </c>
      <c r="E23" s="3" t="inlineStr">
        <is>
          <t>450rb/250rb</t>
        </is>
      </c>
      <c r="F23" s="3" t="inlineStr">
        <is>
          <t>median 350,000</t>
        </is>
      </c>
      <c r="G23" s="3" t="inlineStr">
        <is>
          <t>beberapa tingkat harga</t>
        </is>
      </c>
    </row>
    <row r="24" ht="15" customHeight="1">
      <c r="A24" s="16" t="inlineStr">
        <is>
          <t>2 SEDANG</t>
        </is>
      </c>
      <c r="B24" s="3" t="inlineStr">
        <is>
          <t>Kos</t>
        </is>
      </c>
      <c r="C24" s="3" t="inlineStr">
        <is>
          <t>KOS-007</t>
        </is>
      </c>
      <c r="D24" s="3" t="inlineStr">
        <is>
          <t>Harga per bulan</t>
        </is>
      </c>
      <c r="E24" s="3" t="inlineStr">
        <is>
          <t>500rb/750rb</t>
        </is>
      </c>
      <c r="F24" s="3" t="inlineStr">
        <is>
          <t>median 625,000</t>
        </is>
      </c>
      <c r="G24" s="3" t="inlineStr">
        <is>
          <t>beberapa tingkat harga</t>
        </is>
      </c>
    </row>
    <row r="25" ht="15" customHeight="1">
      <c r="A25" s="16" t="inlineStr">
        <is>
          <t>2 SEDANG</t>
        </is>
      </c>
      <c r="B25" s="3" t="inlineStr">
        <is>
          <t>Kos</t>
        </is>
      </c>
      <c r="C25" s="3" t="inlineStr">
        <is>
          <t>KOS-009</t>
        </is>
      </c>
      <c r="D25" s="3" t="inlineStr">
        <is>
          <t>Harga per bulan</t>
        </is>
      </c>
      <c r="E25" s="3" t="inlineStr">
        <is>
          <t xml:space="preserve">1jt-1,8jt perbulan </t>
        </is>
      </c>
      <c r="F25" s="3" t="inlineStr">
        <is>
          <t>median 1,400,000</t>
        </is>
      </c>
      <c r="G25" s="3" t="inlineStr">
        <is>
          <t>beberapa tingkat harga</t>
        </is>
      </c>
    </row>
    <row r="26" ht="15" customHeight="1">
      <c r="A26" s="16" t="inlineStr">
        <is>
          <t>2 SEDANG</t>
        </is>
      </c>
      <c r="B26" s="3" t="inlineStr">
        <is>
          <t>Kos</t>
        </is>
      </c>
      <c r="C26" s="3" t="inlineStr">
        <is>
          <t>KOS-011</t>
        </is>
      </c>
      <c r="D26" s="3" t="inlineStr">
        <is>
          <t>Harga per bulan</t>
        </is>
      </c>
      <c r="E26" s="3" t="inlineStr">
        <is>
          <t>650rb/900rb</t>
        </is>
      </c>
      <c r="F26" s="3" t="inlineStr">
        <is>
          <t>median 775,000</t>
        </is>
      </c>
      <c r="G26" s="3" t="inlineStr">
        <is>
          <t>beberapa tingkat harga</t>
        </is>
      </c>
    </row>
    <row r="27" ht="15" customHeight="1">
      <c r="A27" s="16" t="inlineStr">
        <is>
          <t>2 SEDANG</t>
        </is>
      </c>
      <c r="B27" s="3" t="inlineStr">
        <is>
          <t>Kos</t>
        </is>
      </c>
      <c r="C27" s="3" t="inlineStr">
        <is>
          <t>KOS-012</t>
        </is>
      </c>
      <c r="D27" s="3" t="inlineStr">
        <is>
          <t>Harga per bulan</t>
        </is>
      </c>
      <c r="E27" s="3" t="inlineStr">
        <is>
          <t>850rb-1,45jt</t>
        </is>
      </c>
      <c r="F27" s="3" t="inlineStr">
        <is>
          <t>median 1,150,000</t>
        </is>
      </c>
      <c r="G27" s="3" t="inlineStr">
        <is>
          <t>beberapa tingkat harga</t>
        </is>
      </c>
    </row>
    <row r="28" ht="15" customHeight="1">
      <c r="A28" s="16" t="inlineStr">
        <is>
          <t>2 SEDANG</t>
        </is>
      </c>
      <c r="B28" s="3" t="inlineStr">
        <is>
          <t>Kos</t>
        </is>
      </c>
      <c r="C28" s="3" t="inlineStr">
        <is>
          <t>KOS-015</t>
        </is>
      </c>
      <c r="D28" s="3" t="inlineStr">
        <is>
          <t>Harga per bulan</t>
        </is>
      </c>
      <c r="E28" s="3" t="inlineStr">
        <is>
          <t>600rb/550rb</t>
        </is>
      </c>
      <c r="F28" s="3" t="inlineStr">
        <is>
          <t>median 575,000</t>
        </is>
      </c>
      <c r="G28" s="3" t="inlineStr">
        <is>
          <t>beberapa tingkat harga</t>
        </is>
      </c>
    </row>
    <row r="29" ht="15" customHeight="1">
      <c r="A29" s="16" t="inlineStr">
        <is>
          <t>2 SEDANG</t>
        </is>
      </c>
      <c r="B29" s="3" t="inlineStr">
        <is>
          <t>Kos</t>
        </is>
      </c>
      <c r="C29" s="3" t="inlineStr">
        <is>
          <t>KOS-016</t>
        </is>
      </c>
      <c r="D29" s="3" t="inlineStr">
        <is>
          <t>Harga per bulan</t>
        </is>
      </c>
      <c r="E29" s="3" t="inlineStr">
        <is>
          <t>700rb-900rb</t>
        </is>
      </c>
      <c r="F29" s="3" t="inlineStr">
        <is>
          <t>median 800,000</t>
        </is>
      </c>
      <c r="G29" s="3" t="inlineStr">
        <is>
          <t>beberapa tingkat harga</t>
        </is>
      </c>
    </row>
    <row r="30" ht="15" customHeight="1">
      <c r="A30" s="16" t="inlineStr">
        <is>
          <t>2 SEDANG</t>
        </is>
      </c>
      <c r="B30" s="3" t="inlineStr">
        <is>
          <t>Kos</t>
        </is>
      </c>
      <c r="C30" s="3" t="inlineStr">
        <is>
          <t>KOS-018</t>
        </is>
      </c>
      <c r="D30" s="3" t="inlineStr">
        <is>
          <t>Harga per bulan</t>
        </is>
      </c>
      <c r="E30" s="3" t="inlineStr">
        <is>
          <t>350rb/550rb</t>
        </is>
      </c>
      <c r="F30" s="3" t="inlineStr">
        <is>
          <t>median 450,000</t>
        </is>
      </c>
      <c r="G30" s="3" t="inlineStr">
        <is>
          <t>beberapa tingkat harga</t>
        </is>
      </c>
    </row>
    <row r="31" ht="15" customHeight="1">
      <c r="A31" s="16" t="inlineStr">
        <is>
          <t>2 SEDANG</t>
        </is>
      </c>
      <c r="B31" s="3" t="inlineStr">
        <is>
          <t>Kos</t>
        </is>
      </c>
      <c r="C31" s="3" t="inlineStr">
        <is>
          <t>KOS-020</t>
        </is>
      </c>
      <c r="D31" s="3" t="inlineStr">
        <is>
          <t>Harga per bulan</t>
        </is>
      </c>
      <c r="E31" s="3" t="inlineStr">
        <is>
          <t>500rb-600rb</t>
        </is>
      </c>
      <c r="F31" s="3" t="inlineStr">
        <is>
          <t>median 550,000</t>
        </is>
      </c>
      <c r="G31" s="3" t="inlineStr">
        <is>
          <t>beberapa tingkat harga</t>
        </is>
      </c>
    </row>
    <row r="32" ht="15" customHeight="1">
      <c r="A32" s="16" t="inlineStr">
        <is>
          <t>2 SEDANG</t>
        </is>
      </c>
      <c r="B32" s="3" t="inlineStr">
        <is>
          <t>Kos</t>
        </is>
      </c>
      <c r="C32" s="3" t="inlineStr">
        <is>
          <t>KOS-027</t>
        </is>
      </c>
      <c r="D32" s="3" t="inlineStr">
        <is>
          <t>Tanggal</t>
        </is>
      </c>
      <c r="E32" s="3" t="inlineStr">
        <is>
          <t>2026-08-24</t>
        </is>
      </c>
      <c r="F32" s="3" t="inlineStr">
        <is>
          <t>-&gt; 2026-08-17</t>
        </is>
      </c>
      <c r="G32" s="3" t="inlineStr">
        <is>
          <t>bertentangan dengan "Day 2"; Day dipakai sebagai acuan, tanggal tercatat diganti</t>
        </is>
      </c>
    </row>
    <row r="33" ht="15" customHeight="1">
      <c r="A33" s="16" t="inlineStr">
        <is>
          <t>2 SEDANG</t>
        </is>
      </c>
      <c r="B33" s="3" t="inlineStr">
        <is>
          <t>Kos</t>
        </is>
      </c>
      <c r="C33" s="3" t="inlineStr">
        <is>
          <t>KOS-027</t>
        </is>
      </c>
      <c r="D33" s="3" t="inlineStr">
        <is>
          <t>Harga per bulan</t>
        </is>
      </c>
      <c r="E33" s="3" t="inlineStr">
        <is>
          <t>1.2jt - 1.3jt</t>
        </is>
      </c>
      <c r="F33" s="3" t="inlineStr">
        <is>
          <t>median 1,250,000</t>
        </is>
      </c>
      <c r="G33" s="3" t="inlineStr">
        <is>
          <t>beberapa tingkat harga</t>
        </is>
      </c>
    </row>
    <row r="34" ht="15" customHeight="1">
      <c r="A34" s="16" t="inlineStr">
        <is>
          <t>2 SEDANG</t>
        </is>
      </c>
      <c r="B34" s="3" t="inlineStr">
        <is>
          <t>Kos</t>
        </is>
      </c>
      <c r="C34" s="3" t="inlineStr">
        <is>
          <t>KOS-028</t>
        </is>
      </c>
      <c r="D34" s="3" t="inlineStr">
        <is>
          <t>Tanggal</t>
        </is>
      </c>
      <c r="E34" s="3" t="inlineStr">
        <is>
          <t>2026-08-24</t>
        </is>
      </c>
      <c r="F34" s="3" t="inlineStr">
        <is>
          <t>-&gt; 2026-08-17</t>
        </is>
      </c>
      <c r="G34" s="3" t="inlineStr">
        <is>
          <t>bertentangan dengan "Day 2"; Day dipakai sebagai acuan, tanggal tercatat diganti</t>
        </is>
      </c>
    </row>
    <row r="35" ht="15" customHeight="1">
      <c r="A35" s="16" t="inlineStr">
        <is>
          <t>2 SEDANG</t>
        </is>
      </c>
      <c r="B35" s="3" t="inlineStr">
        <is>
          <t>Kos</t>
        </is>
      </c>
      <c r="C35" s="3" t="inlineStr">
        <is>
          <t>KOS-028</t>
        </is>
      </c>
      <c r="D35" s="3" t="inlineStr">
        <is>
          <t>Harga per bulan</t>
        </is>
      </c>
      <c r="E35" s="3" t="inlineStr">
        <is>
          <t>1.2jt - 1.3jt</t>
        </is>
      </c>
      <c r="F35" s="3" t="inlineStr">
        <is>
          <t>median 1,250,000</t>
        </is>
      </c>
      <c r="G35" s="3" t="inlineStr">
        <is>
          <t>beberapa tingkat harga</t>
        </is>
      </c>
    </row>
    <row r="36" ht="15" customHeight="1">
      <c r="A36" s="16" t="inlineStr">
        <is>
          <t>2 SEDANG</t>
        </is>
      </c>
      <c r="B36" s="3" t="inlineStr">
        <is>
          <t>Kos</t>
        </is>
      </c>
      <c r="C36" s="3" t="inlineStr">
        <is>
          <t>KOS-029</t>
        </is>
      </c>
      <c r="D36" s="3" t="inlineStr">
        <is>
          <t>Tanggal</t>
        </is>
      </c>
      <c r="E36" s="3" t="inlineStr">
        <is>
          <t>kosong</t>
        </is>
      </c>
      <c r="F36" s="3" t="inlineStr">
        <is>
          <t>-&gt; 2026-08-24</t>
        </is>
      </c>
      <c r="G36" s="3" t="inlineStr">
        <is>
          <t>diisi dari "Day 4" (peta hari otoritatif)</t>
        </is>
      </c>
    </row>
    <row r="37" ht="15" customHeight="1">
      <c r="A37" s="16" t="inlineStr">
        <is>
          <t>2 SEDANG</t>
        </is>
      </c>
      <c r="B37" s="3" t="inlineStr">
        <is>
          <t>Kos</t>
        </is>
      </c>
      <c r="C37" s="3" t="inlineStr">
        <is>
          <t>KOS-029</t>
        </is>
      </c>
      <c r="D37" s="3" t="inlineStr">
        <is>
          <t>Harga per bulan</t>
        </is>
      </c>
      <c r="E37" s="3" t="inlineStr">
        <is>
          <t>500rb - 800rb</t>
        </is>
      </c>
      <c r="F37" s="3" t="inlineStr">
        <is>
          <t>median 650,000</t>
        </is>
      </c>
      <c r="G37" s="3" t="inlineStr">
        <is>
          <t>beberapa tingkat harga</t>
        </is>
      </c>
    </row>
    <row r="38" ht="15" customHeight="1">
      <c r="A38" s="16" t="inlineStr">
        <is>
          <t>2 SEDANG</t>
        </is>
      </c>
      <c r="B38" s="3" t="inlineStr">
        <is>
          <t>Kos</t>
        </is>
      </c>
      <c r="C38" s="3" t="inlineStr">
        <is>
          <t>KOS-030</t>
        </is>
      </c>
      <c r="D38" s="3" t="inlineStr">
        <is>
          <t>Tanggal</t>
        </is>
      </c>
      <c r="E38" s="3" t="inlineStr">
        <is>
          <t>kosong</t>
        </is>
      </c>
      <c r="F38" s="3" t="inlineStr">
        <is>
          <t>-&gt; 2026-08-24</t>
        </is>
      </c>
      <c r="G38" s="3" t="inlineStr">
        <is>
          <t>diisi dari "Day 4" (peta hari otoritatif)</t>
        </is>
      </c>
    </row>
    <row r="39" ht="15" customHeight="1">
      <c r="A39" s="16" t="inlineStr">
        <is>
          <t>2 SEDANG</t>
        </is>
      </c>
      <c r="B39" s="3" t="inlineStr">
        <is>
          <t>Kos</t>
        </is>
      </c>
      <c r="C39" s="3" t="inlineStr">
        <is>
          <t>KOS-030</t>
        </is>
      </c>
      <c r="D39" s="3" t="inlineStr">
        <is>
          <t>Harga per bulan</t>
        </is>
      </c>
      <c r="E39" s="3" t="inlineStr">
        <is>
          <t>900rb - 1.2jt</t>
        </is>
      </c>
      <c r="F39" s="3" t="inlineStr">
        <is>
          <t>median 1,050,000</t>
        </is>
      </c>
      <c r="G39" s="3" t="inlineStr">
        <is>
          <t>beberapa tingkat harga</t>
        </is>
      </c>
    </row>
    <row r="40" ht="15" customHeight="1">
      <c r="A40" s="16" t="inlineStr">
        <is>
          <t>2 SEDANG</t>
        </is>
      </c>
      <c r="B40" s="3" t="inlineStr">
        <is>
          <t>Kos</t>
        </is>
      </c>
      <c r="C40" s="3" t="inlineStr">
        <is>
          <t>KOS-031</t>
        </is>
      </c>
      <c r="D40" s="3" t="inlineStr">
        <is>
          <t>Tanggal</t>
        </is>
      </c>
      <c r="E40" s="3" t="inlineStr">
        <is>
          <t>kosong</t>
        </is>
      </c>
      <c r="F40" s="3" t="inlineStr">
        <is>
          <t>-&gt; 2026-08-24</t>
        </is>
      </c>
      <c r="G40" s="3" t="inlineStr">
        <is>
          <t>diisi dari "Day 4" (peta hari otoritatif)</t>
        </is>
      </c>
    </row>
    <row r="41" ht="15" customHeight="1">
      <c r="A41" s="16" t="inlineStr">
        <is>
          <t>2 SEDANG</t>
        </is>
      </c>
      <c r="B41" s="3" t="inlineStr">
        <is>
          <t>Kos</t>
        </is>
      </c>
      <c r="C41" s="3" t="inlineStr">
        <is>
          <t>KOS-031</t>
        </is>
      </c>
      <c r="D41" s="3" t="inlineStr">
        <is>
          <t>Harga per bulan</t>
        </is>
      </c>
      <c r="E41" s="3" t="inlineStr">
        <is>
          <t>700rb - 1.1jt</t>
        </is>
      </c>
      <c r="F41" s="3" t="inlineStr">
        <is>
          <t>median 900,000</t>
        </is>
      </c>
      <c r="G41" s="3" t="inlineStr">
        <is>
          <t>beberapa tingkat harga</t>
        </is>
      </c>
    </row>
    <row r="42" ht="15" customHeight="1">
      <c r="A42" s="16" t="inlineStr">
        <is>
          <t>2 SEDANG</t>
        </is>
      </c>
      <c r="B42" s="3" t="inlineStr">
        <is>
          <t>Ruas</t>
        </is>
      </c>
      <c r="C42" s="3" t="inlineStr">
        <is>
          <t>RUAS-001</t>
        </is>
      </c>
      <c r="D42" s="3" t="inlineStr">
        <is>
          <t>Tanggal</t>
        </is>
      </c>
      <c r="E42" s="3" t="inlineStr">
        <is>
          <t>2026-08-14</t>
        </is>
      </c>
      <c r="F42" s="3" t="inlineStr">
        <is>
          <t>-&gt; 2026-08-16</t>
        </is>
      </c>
      <c r="G42" s="3" t="inlineStr">
        <is>
          <t>bertentangan dengan "Day 1"; Day dipakai sebagai acuan, tanggal tercatat diganti</t>
        </is>
      </c>
    </row>
    <row r="43" ht="15" customHeight="1">
      <c r="A43" s="16" t="inlineStr">
        <is>
          <t>2 SEDANG</t>
        </is>
      </c>
      <c r="B43" s="3" t="inlineStr">
        <is>
          <t>Ruas</t>
        </is>
      </c>
      <c r="C43" s="3" t="inlineStr">
        <is>
          <t>RUAS-002</t>
        </is>
      </c>
      <c r="D43" s="3" t="inlineStr">
        <is>
          <t>Tanggal</t>
        </is>
      </c>
      <c r="E43" s="3" t="inlineStr">
        <is>
          <t>2026-08-14</t>
        </is>
      </c>
      <c r="F43" s="3" t="inlineStr">
        <is>
          <t>-&gt; 2026-08-16</t>
        </is>
      </c>
      <c r="G43" s="3" t="inlineStr">
        <is>
          <t>bertentangan dengan "Day 1"; Day dipakai sebagai acuan, tanggal tercatat diganti</t>
        </is>
      </c>
    </row>
    <row r="44" ht="15" customHeight="1">
      <c r="A44" s="16" t="inlineStr">
        <is>
          <t>2 SEDANG</t>
        </is>
      </c>
      <c r="B44" s="3" t="inlineStr">
        <is>
          <t>Ruas</t>
        </is>
      </c>
      <c r="C44" s="3" t="inlineStr">
        <is>
          <t>RUAS-003</t>
        </is>
      </c>
      <c r="D44" s="3" t="inlineStr">
        <is>
          <t>Tanggal</t>
        </is>
      </c>
      <c r="E44" s="3" t="inlineStr">
        <is>
          <t>2026-08-14</t>
        </is>
      </c>
      <c r="F44" s="3" t="inlineStr">
        <is>
          <t>-&gt; 2026-08-16</t>
        </is>
      </c>
      <c r="G44" s="3" t="inlineStr">
        <is>
          <t>bertentangan dengan "Day 1"; Day dipakai sebagai acuan, tanggal tercatat diganti</t>
        </is>
      </c>
    </row>
    <row r="45" ht="15" customHeight="1">
      <c r="A45" s="16" t="inlineStr">
        <is>
          <t>2 SEDANG</t>
        </is>
      </c>
      <c r="B45" s="3" t="inlineStr">
        <is>
          <t>Ruas</t>
        </is>
      </c>
      <c r="C45" s="3" t="inlineStr">
        <is>
          <t>RUAS-004</t>
        </is>
      </c>
      <c r="D45" s="3" t="inlineStr">
        <is>
          <t>Tanggal</t>
        </is>
      </c>
      <c r="E45" s="3" t="inlineStr">
        <is>
          <t>2026-08-14</t>
        </is>
      </c>
      <c r="F45" s="3" t="inlineStr">
        <is>
          <t>-&gt; 2026-08-16</t>
        </is>
      </c>
      <c r="G45" s="3" t="inlineStr">
        <is>
          <t>bertentangan dengan "Day 1"; Day dipakai sebagai acuan, tanggal tercatat diganti</t>
        </is>
      </c>
    </row>
    <row r="46" ht="15" customHeight="1">
      <c r="A46" s="16" t="inlineStr">
        <is>
          <t>2 SEDANG</t>
        </is>
      </c>
      <c r="B46" s="3" t="inlineStr">
        <is>
          <t>Ruas</t>
        </is>
      </c>
      <c r="C46" s="3" t="inlineStr">
        <is>
          <t>RUAS-005</t>
        </is>
      </c>
      <c r="D46" s="3" t="inlineStr">
        <is>
          <t>Tanggal</t>
        </is>
      </c>
      <c r="E46" s="3" t="inlineStr">
        <is>
          <t>2026-08-14</t>
        </is>
      </c>
      <c r="F46" s="3" t="inlineStr">
        <is>
          <t>-&gt; 2026-08-16</t>
        </is>
      </c>
      <c r="G46" s="3" t="inlineStr">
        <is>
          <t>bertentangan dengan "Day 1"; Day dipakai sebagai acuan, tanggal tercatat diganti</t>
        </is>
      </c>
    </row>
    <row r="47" ht="15" customHeight="1">
      <c r="A47" s="16" t="inlineStr">
        <is>
          <t>2 SEDANG</t>
        </is>
      </c>
      <c r="B47" s="3" t="inlineStr">
        <is>
          <t>Ruas</t>
        </is>
      </c>
      <c r="C47" s="3" t="inlineStr">
        <is>
          <t>RUAS-006</t>
        </is>
      </c>
      <c r="D47" s="3" t="inlineStr">
        <is>
          <t>Tanggal</t>
        </is>
      </c>
      <c r="E47" s="3" t="inlineStr">
        <is>
          <t>2026-08-14</t>
        </is>
      </c>
      <c r="F47" s="3" t="inlineStr">
        <is>
          <t>-&gt; 2026-08-16</t>
        </is>
      </c>
      <c r="G47" s="3" t="inlineStr">
        <is>
          <t>bertentangan dengan "Day 1"; Day dipakai sebagai acuan, tanggal tercatat diganti</t>
        </is>
      </c>
    </row>
    <row r="48" ht="15" customHeight="1">
      <c r="A48" s="16" t="inlineStr">
        <is>
          <t>2 SEDANG</t>
        </is>
      </c>
      <c r="B48" s="3" t="inlineStr">
        <is>
          <t>Ruas</t>
        </is>
      </c>
      <c r="C48" s="3" t="inlineStr">
        <is>
          <t>RUAS-007</t>
        </is>
      </c>
      <c r="D48" s="3" t="inlineStr">
        <is>
          <t>Tanggal</t>
        </is>
      </c>
      <c r="E48" s="3" t="inlineStr">
        <is>
          <t>2026-08-14</t>
        </is>
      </c>
      <c r="F48" s="3" t="inlineStr">
        <is>
          <t>-&gt; 2026-08-16</t>
        </is>
      </c>
      <c r="G48" s="3" t="inlineStr">
        <is>
          <t>bertentangan dengan "Day 1"; Day dipakai sebagai acuan, tanggal tercatat diganti</t>
        </is>
      </c>
    </row>
    <row r="49" ht="15" customHeight="1">
      <c r="A49" s="16" t="inlineStr">
        <is>
          <t>2 SEDANG</t>
        </is>
      </c>
      <c r="B49" s="3" t="inlineStr">
        <is>
          <t>Ruas</t>
        </is>
      </c>
      <c r="C49" s="3" t="inlineStr">
        <is>
          <t>RUAS-008</t>
        </is>
      </c>
      <c r="D49" s="3" t="inlineStr">
        <is>
          <t>Tanggal</t>
        </is>
      </c>
      <c r="E49" s="3" t="inlineStr">
        <is>
          <t>2026-08-14</t>
        </is>
      </c>
      <c r="F49" s="3" t="inlineStr">
        <is>
          <t>-&gt; 2026-08-16</t>
        </is>
      </c>
      <c r="G49" s="3" t="inlineStr">
        <is>
          <t>bertentangan dengan "Day 1"; Day dipakai sebagai acuan, tanggal tercatat diganti</t>
        </is>
      </c>
    </row>
    <row r="50" ht="15" customHeight="1">
      <c r="A50" s="16" t="inlineStr">
        <is>
          <t>2 SEDANG</t>
        </is>
      </c>
      <c r="B50" s="3" t="inlineStr">
        <is>
          <t>Ruas</t>
        </is>
      </c>
      <c r="C50" s="3" t="inlineStr">
        <is>
          <t>RUAS-009</t>
        </is>
      </c>
      <c r="D50" s="3" t="inlineStr">
        <is>
          <t>Tanggal</t>
        </is>
      </c>
      <c r="E50" s="3" t="inlineStr">
        <is>
          <t>2026-08-14</t>
        </is>
      </c>
      <c r="F50" s="3" t="inlineStr">
        <is>
          <t>-&gt; 2026-08-16</t>
        </is>
      </c>
      <c r="G50" s="3" t="inlineStr">
        <is>
          <t>bertentangan dengan "Day 1"; Day dipakai sebagai acuan, tanggal tercatat diganti</t>
        </is>
      </c>
    </row>
    <row r="51" ht="15" customHeight="1">
      <c r="A51" s="16" t="inlineStr">
        <is>
          <t>2 SEDANG</t>
        </is>
      </c>
      <c r="B51" s="3" t="inlineStr">
        <is>
          <t>Ruas</t>
        </is>
      </c>
      <c r="C51" s="3" t="inlineStr">
        <is>
          <t>RUAS-010</t>
        </is>
      </c>
      <c r="D51" s="3" t="inlineStr">
        <is>
          <t>Tanggal</t>
        </is>
      </c>
      <c r="E51" s="3" t="inlineStr">
        <is>
          <t>2026-08-14</t>
        </is>
      </c>
      <c r="F51" s="3" t="inlineStr">
        <is>
          <t>-&gt; 2026-08-16</t>
        </is>
      </c>
      <c r="G51" s="3" t="inlineStr">
        <is>
          <t>bertentangan dengan "Day 1"; Day dipakai sebagai acuan, tanggal tercatat diganti</t>
        </is>
      </c>
    </row>
    <row r="52" ht="15" customHeight="1">
      <c r="A52" s="16" t="inlineStr">
        <is>
          <t>2 SEDANG</t>
        </is>
      </c>
      <c r="B52" s="3" t="inlineStr">
        <is>
          <t>Ruas</t>
        </is>
      </c>
      <c r="C52" s="3" t="inlineStr">
        <is>
          <t>RUAS-011</t>
        </is>
      </c>
      <c r="D52" s="3" t="inlineStr">
        <is>
          <t>Tanggal</t>
        </is>
      </c>
      <c r="E52" s="3" t="inlineStr">
        <is>
          <t>2026-08-14</t>
        </is>
      </c>
      <c r="F52" s="3" t="inlineStr">
        <is>
          <t>-&gt; 2026-08-16</t>
        </is>
      </c>
      <c r="G52" s="3" t="inlineStr">
        <is>
          <t>bertentangan dengan "Day 1"; Day dipakai sebagai acuan, tanggal tercatat diganti</t>
        </is>
      </c>
    </row>
    <row r="53" ht="15" customHeight="1">
      <c r="A53" s="16" t="inlineStr">
        <is>
          <t>2 SEDANG</t>
        </is>
      </c>
      <c r="B53" s="3" t="inlineStr">
        <is>
          <t>Ruas</t>
        </is>
      </c>
      <c r="C53" s="3" t="inlineStr">
        <is>
          <t>RUAS-012</t>
        </is>
      </c>
      <c r="D53" s="3" t="inlineStr">
        <is>
          <t>Tanggal</t>
        </is>
      </c>
      <c r="E53" s="3" t="inlineStr">
        <is>
          <t>2026-08-14</t>
        </is>
      </c>
      <c r="F53" s="3" t="inlineStr">
        <is>
          <t>-&gt; 2026-08-16</t>
        </is>
      </c>
      <c r="G53" s="3" t="inlineStr">
        <is>
          <t>bertentangan dengan "Day 1"; Day dipakai sebagai acuan, tanggal tercatat diganti</t>
        </is>
      </c>
    </row>
    <row r="54" ht="15" customHeight="1">
      <c r="A54" s="16" t="inlineStr">
        <is>
          <t>2 SEDANG</t>
        </is>
      </c>
      <c r="B54" s="3" t="inlineStr">
        <is>
          <t>Ruas</t>
        </is>
      </c>
      <c r="C54" s="3" t="inlineStr">
        <is>
          <t>RUAS-013</t>
        </is>
      </c>
      <c r="D54" s="3" t="inlineStr">
        <is>
          <t>Tanggal</t>
        </is>
      </c>
      <c r="E54" s="3" t="inlineStr">
        <is>
          <t>2026-08-14</t>
        </is>
      </c>
      <c r="F54" s="3" t="inlineStr">
        <is>
          <t>-&gt; 2026-08-16</t>
        </is>
      </c>
      <c r="G54" s="3" t="inlineStr">
        <is>
          <t>bertentangan dengan "Day 1"; Day dipakai sebagai acuan, tanggal tercatat diganti</t>
        </is>
      </c>
    </row>
    <row r="55" ht="15" customHeight="1">
      <c r="A55" s="16" t="inlineStr">
        <is>
          <t>2 SEDANG</t>
        </is>
      </c>
      <c r="B55" s="3" t="inlineStr">
        <is>
          <t>Ruas</t>
        </is>
      </c>
      <c r="C55" s="3" t="inlineStr">
        <is>
          <t>RUAS-014</t>
        </is>
      </c>
      <c r="D55" s="3" t="inlineStr">
        <is>
          <t>Tanggal</t>
        </is>
      </c>
      <c r="E55" s="3" t="inlineStr">
        <is>
          <t>2026-08-14</t>
        </is>
      </c>
      <c r="F55" s="3" t="inlineStr">
        <is>
          <t>-&gt; 2026-08-16</t>
        </is>
      </c>
      <c r="G55" s="3" t="inlineStr">
        <is>
          <t>bertentangan dengan "Day 1"; Day dipakai sebagai acuan, tanggal tercatat diganti</t>
        </is>
      </c>
    </row>
    <row r="56" ht="15" customHeight="1">
      <c r="A56" s="16" t="inlineStr">
        <is>
          <t>2 SEDANG</t>
        </is>
      </c>
      <c r="B56" s="3" t="inlineStr">
        <is>
          <t>Ruas</t>
        </is>
      </c>
      <c r="C56" s="3" t="inlineStr">
        <is>
          <t>RUAS-015</t>
        </is>
      </c>
      <c r="D56" s="3" t="inlineStr">
        <is>
          <t>Tanggal</t>
        </is>
      </c>
      <c r="E56" s="3" t="inlineStr">
        <is>
          <t>2026-08-14</t>
        </is>
      </c>
      <c r="F56" s="3" t="inlineStr">
        <is>
          <t>-&gt; 2026-08-16</t>
        </is>
      </c>
      <c r="G56" s="3" t="inlineStr">
        <is>
          <t>bertentangan dengan "Day 1"; Day dipakai sebagai acuan, tanggal tercatat diganti</t>
        </is>
      </c>
    </row>
    <row r="57" ht="15" customHeight="1">
      <c r="A57" s="16" t="inlineStr">
        <is>
          <t>2 SEDANG</t>
        </is>
      </c>
      <c r="B57" s="3" t="inlineStr">
        <is>
          <t>Ruas</t>
        </is>
      </c>
      <c r="C57" s="3" t="inlineStr">
        <is>
          <t>RUAS-016</t>
        </is>
      </c>
      <c r="D57" s="3" t="inlineStr">
        <is>
          <t>Tanggal</t>
        </is>
      </c>
      <c r="E57" s="3" t="inlineStr">
        <is>
          <t>2026-08-14</t>
        </is>
      </c>
      <c r="F57" s="3" t="inlineStr">
        <is>
          <t>-&gt; 2026-08-16</t>
        </is>
      </c>
      <c r="G57" s="3" t="inlineStr">
        <is>
          <t>bertentangan dengan "Day 1"; Day dipakai sebagai acuan, tanggal tercatat diganti</t>
        </is>
      </c>
    </row>
    <row r="58" ht="15" customHeight="1">
      <c r="A58" s="16" t="inlineStr">
        <is>
          <t>2 SEDANG</t>
        </is>
      </c>
      <c r="B58" s="3" t="inlineStr">
        <is>
          <t>Ruas</t>
        </is>
      </c>
      <c r="C58" s="3" t="inlineStr">
        <is>
          <t>RUAS-017</t>
        </is>
      </c>
      <c r="D58" s="3" t="inlineStr">
        <is>
          <t>Tanggal</t>
        </is>
      </c>
      <c r="E58" s="3" t="inlineStr">
        <is>
          <t>2026-08-14</t>
        </is>
      </c>
      <c r="F58" s="3" t="inlineStr">
        <is>
          <t>-&gt; 2026-08-16</t>
        </is>
      </c>
      <c r="G58" s="3" t="inlineStr">
        <is>
          <t>bertentangan dengan "Day 1"; Day dipakai sebagai acuan, tanggal tercatat diganti</t>
        </is>
      </c>
    </row>
    <row r="59" ht="15" customHeight="1">
      <c r="A59" s="16" t="inlineStr">
        <is>
          <t>2 SEDANG</t>
        </is>
      </c>
      <c r="B59" s="3" t="inlineStr">
        <is>
          <t>Ruas</t>
        </is>
      </c>
      <c r="C59" s="3" t="inlineStr">
        <is>
          <t>RUAS-018</t>
        </is>
      </c>
      <c r="D59" s="3" t="inlineStr">
        <is>
          <t>Tanggal</t>
        </is>
      </c>
      <c r="E59" s="3" t="inlineStr">
        <is>
          <t>2026-08-14</t>
        </is>
      </c>
      <c r="F59" s="3" t="inlineStr">
        <is>
          <t>-&gt; 2026-08-16</t>
        </is>
      </c>
      <c r="G59" s="3" t="inlineStr">
        <is>
          <t>bertentangan dengan "Day 1"; Day dipakai sebagai acuan, tanggal tercatat diganti</t>
        </is>
      </c>
    </row>
    <row r="60" ht="15" customHeight="1">
      <c r="A60" s="16" t="inlineStr">
        <is>
          <t>2 SEDANG</t>
        </is>
      </c>
      <c r="B60" s="3" t="inlineStr">
        <is>
          <t>Ruas</t>
        </is>
      </c>
      <c r="C60" s="3" t="inlineStr">
        <is>
          <t>RUAS-019</t>
        </is>
      </c>
      <c r="D60" s="3" t="inlineStr">
        <is>
          <t>Tanggal</t>
        </is>
      </c>
      <c r="E60" s="3" t="inlineStr">
        <is>
          <t>2026-08-14</t>
        </is>
      </c>
      <c r="F60" s="3" t="inlineStr">
        <is>
          <t>-&gt; 2026-08-16</t>
        </is>
      </c>
      <c r="G60" s="3" t="inlineStr">
        <is>
          <t>bertentangan dengan "Day 1"; Day dipakai sebagai acuan, tanggal tercatat diganti</t>
        </is>
      </c>
    </row>
    <row r="61" ht="15" customHeight="1">
      <c r="A61" s="16" t="inlineStr">
        <is>
          <t>2 SEDANG</t>
        </is>
      </c>
      <c r="B61" s="3" t="inlineStr">
        <is>
          <t>Ruas</t>
        </is>
      </c>
      <c r="C61" s="3" t="inlineStr">
        <is>
          <t>RUAS-019</t>
        </is>
      </c>
      <c r="D61" s="3" t="inlineStr">
        <is>
          <t>Lebar Trotoar (m)</t>
        </is>
      </c>
      <c r="E61" s="3" t="inlineStr">
        <is>
          <t>1.1-1.2</t>
        </is>
      </c>
      <c r="F61" s="3" t="inlineStr">
        <is>
          <t>-&gt; 1.15</t>
        </is>
      </c>
      <c r="G61" s="3" t="inlineStr">
        <is>
          <t>rentang "1.1-1.2" -&gt; titik tengah</t>
        </is>
      </c>
    </row>
    <row r="62" ht="15" customHeight="1">
      <c r="A62" s="16" t="inlineStr">
        <is>
          <t>2 SEDANG</t>
        </is>
      </c>
      <c r="B62" s="3" t="inlineStr">
        <is>
          <t>Ruas</t>
        </is>
      </c>
      <c r="C62" s="3" t="inlineStr">
        <is>
          <t>RUAS-020</t>
        </is>
      </c>
      <c r="D62" s="3" t="inlineStr">
        <is>
          <t>Tanggal</t>
        </is>
      </c>
      <c r="E62" s="3" t="inlineStr">
        <is>
          <t>2026-08-14</t>
        </is>
      </c>
      <c r="F62" s="3" t="inlineStr">
        <is>
          <t>-&gt; 2026-08-16</t>
        </is>
      </c>
      <c r="G62" s="3" t="inlineStr">
        <is>
          <t>bertentangan dengan "Day 1"; Day dipakai sebagai acuan, tanggal tercatat diganti</t>
        </is>
      </c>
    </row>
    <row r="63" ht="15" customHeight="1">
      <c r="A63" s="16" t="inlineStr">
        <is>
          <t>2 SEDANG</t>
        </is>
      </c>
      <c r="B63" s="3" t="inlineStr">
        <is>
          <t>Ruas</t>
        </is>
      </c>
      <c r="C63" s="3" t="inlineStr">
        <is>
          <t>RUAS-021</t>
        </is>
      </c>
      <c r="D63" s="3" t="inlineStr">
        <is>
          <t>Tanggal</t>
        </is>
      </c>
      <c r="E63" s="3" t="inlineStr">
        <is>
          <t>2026-08-14</t>
        </is>
      </c>
      <c r="F63" s="3" t="inlineStr">
        <is>
          <t>-&gt; 2026-08-16</t>
        </is>
      </c>
      <c r="G63" s="3" t="inlineStr">
        <is>
          <t>bertentangan dengan "Day 1"; Day dipakai sebagai acuan, tanggal tercatat diganti</t>
        </is>
      </c>
    </row>
    <row r="64" ht="15" customHeight="1">
      <c r="A64" s="16" t="inlineStr">
        <is>
          <t>2 SEDANG</t>
        </is>
      </c>
      <c r="B64" s="3" t="inlineStr">
        <is>
          <t>Ruas</t>
        </is>
      </c>
      <c r="C64" s="3" t="inlineStr">
        <is>
          <t>RUAS-052</t>
        </is>
      </c>
      <c r="D64" s="3" t="inlineStr">
        <is>
          <t>Tanggal</t>
        </is>
      </c>
      <c r="E64" s="3" t="inlineStr">
        <is>
          <t>kosong</t>
        </is>
      </c>
      <c r="F64" s="3" t="inlineStr">
        <is>
          <t>-&gt; 2026-08-17</t>
        </is>
      </c>
      <c r="G64" s="3" t="inlineStr">
        <is>
          <t>diisi dari "Day 2" (peta hari otoritatif)</t>
        </is>
      </c>
    </row>
    <row r="65" ht="15" customHeight="1">
      <c r="A65" s="16" t="inlineStr">
        <is>
          <t>2 SEDANG</t>
        </is>
      </c>
      <c r="B65" s="3" t="inlineStr">
        <is>
          <t>Ruas</t>
        </is>
      </c>
      <c r="C65" s="3" t="inlineStr">
        <is>
          <t>RUAS-054</t>
        </is>
      </c>
      <c r="D65" s="3" t="inlineStr">
        <is>
          <t>Tanggal</t>
        </is>
      </c>
      <c r="E65" s="3" t="inlineStr">
        <is>
          <t>kosong</t>
        </is>
      </c>
      <c r="F65" s="3" t="inlineStr">
        <is>
          <t>-&gt; 2026-08-17</t>
        </is>
      </c>
      <c r="G65" s="3" t="inlineStr">
        <is>
          <t>diisi dari "Day 2" (peta hari otoritatif)</t>
        </is>
      </c>
    </row>
    <row r="66" ht="15" customHeight="1">
      <c r="A66" s="16" t="inlineStr">
        <is>
          <t>2 SEDANG</t>
        </is>
      </c>
      <c r="B66" s="3" t="inlineStr">
        <is>
          <t>Ruas</t>
        </is>
      </c>
      <c r="C66" s="3" t="inlineStr">
        <is>
          <t>RUAS-064</t>
        </is>
      </c>
      <c r="D66" s="3" t="inlineStr">
        <is>
          <t>Tanggal</t>
        </is>
      </c>
      <c r="E66" s="3" t="inlineStr">
        <is>
          <t>kosong</t>
        </is>
      </c>
      <c r="F66" s="3" t="inlineStr">
        <is>
          <t>-&gt; 2026-08-18</t>
        </is>
      </c>
      <c r="G66" s="3" t="inlineStr">
        <is>
          <t>diisi dari "Day 3" (peta hari otoritatif)</t>
        </is>
      </c>
    </row>
    <row r="67" ht="15" customHeight="1">
      <c r="A67" s="16" t="inlineStr">
        <is>
          <t>2 SEDANG</t>
        </is>
      </c>
      <c r="B67" s="3" t="inlineStr">
        <is>
          <t>Ruas</t>
        </is>
      </c>
      <c r="C67" s="3" t="inlineStr">
        <is>
          <t>RUAS-065</t>
        </is>
      </c>
      <c r="D67" s="3" t="inlineStr">
        <is>
          <t>Tanggal</t>
        </is>
      </c>
      <c r="E67" s="3" t="inlineStr">
        <is>
          <t>kosong</t>
        </is>
      </c>
      <c r="F67" s="3" t="inlineStr">
        <is>
          <t>-&gt; 2026-08-18</t>
        </is>
      </c>
      <c r="G67" s="3" t="inlineStr">
        <is>
          <t>diisi dari "Day 3" (peta hari otoritatif)</t>
        </is>
      </c>
    </row>
    <row r="68" ht="15" customHeight="1">
      <c r="A68" s="16" t="inlineStr">
        <is>
          <t>2 SEDANG</t>
        </is>
      </c>
      <c r="B68" s="3" t="inlineStr">
        <is>
          <t>Ruas</t>
        </is>
      </c>
      <c r="C68" s="3" t="inlineStr">
        <is>
          <t>RUAS-067</t>
        </is>
      </c>
      <c r="D68" s="3" t="inlineStr">
        <is>
          <t>Tanggal</t>
        </is>
      </c>
      <c r="E68" s="3" t="inlineStr">
        <is>
          <t>kosong</t>
        </is>
      </c>
      <c r="F68" s="3" t="inlineStr">
        <is>
          <t>-&gt; 2026-08-18</t>
        </is>
      </c>
      <c r="G68" s="3" t="inlineStr">
        <is>
          <t>diisi dari "Day 3" (peta hari otoritatif)</t>
        </is>
      </c>
    </row>
    <row r="69" ht="15" customHeight="1">
      <c r="A69" s="16" t="inlineStr">
        <is>
          <t>2 SEDANG</t>
        </is>
      </c>
      <c r="B69" s="3" t="inlineStr">
        <is>
          <t>Ruas</t>
        </is>
      </c>
      <c r="C69" s="3" t="inlineStr">
        <is>
          <t>RUAS-067</t>
        </is>
      </c>
      <c r="D69" s="3" t="inlineStr">
        <is>
          <t>Jam</t>
        </is>
      </c>
      <c r="E69" s="3" t="inlineStr">
        <is>
          <t>21:27</t>
        </is>
      </c>
      <c r="F69" s="3" t="inlineStr">
        <is>
          <t>dibiarkan</t>
        </is>
      </c>
      <c r="G69" s="3" t="inlineStr">
        <is>
          <t>pengamatan malam; pastikan bukan salah ketik</t>
        </is>
      </c>
    </row>
    <row r="70" ht="15" customHeight="1">
      <c r="A70" s="16" t="inlineStr">
        <is>
          <t>2 SEDANG</t>
        </is>
      </c>
      <c r="B70" s="3" t="inlineStr">
        <is>
          <t>Ruas</t>
        </is>
      </c>
      <c r="C70" s="3" t="inlineStr">
        <is>
          <t>RUAS-068</t>
        </is>
      </c>
      <c r="D70" s="3" t="inlineStr">
        <is>
          <t>Tanggal</t>
        </is>
      </c>
      <c r="E70" s="3" t="inlineStr">
        <is>
          <t>kosong</t>
        </is>
      </c>
      <c r="F70" s="3" t="inlineStr">
        <is>
          <t>-&gt; 2026-08-18</t>
        </is>
      </c>
      <c r="G70" s="3" t="inlineStr">
        <is>
          <t>diisi dari "Day 3" (peta hari otoritatif)</t>
        </is>
      </c>
    </row>
    <row r="71" ht="15" customHeight="1">
      <c r="A71" s="16" t="inlineStr">
        <is>
          <t>2 SEDANG</t>
        </is>
      </c>
      <c r="B71" s="3" t="inlineStr">
        <is>
          <t>Ruas</t>
        </is>
      </c>
      <c r="C71" s="3" t="inlineStr">
        <is>
          <t>RUAS-069</t>
        </is>
      </c>
      <c r="D71" s="3" t="inlineStr">
        <is>
          <t>Tanggal</t>
        </is>
      </c>
      <c r="E71" s="3" t="inlineStr">
        <is>
          <t>kosong</t>
        </is>
      </c>
      <c r="F71" s="3" t="inlineStr">
        <is>
          <t>-&gt; 2026-08-18</t>
        </is>
      </c>
      <c r="G71" s="3" t="inlineStr">
        <is>
          <t>diisi dari "Day 3" (peta hari otoritatif)</t>
        </is>
      </c>
    </row>
    <row r="72" ht="15" customHeight="1">
      <c r="A72" s="16" t="inlineStr">
        <is>
          <t>2 SEDANG</t>
        </is>
      </c>
      <c r="B72" s="3" t="inlineStr">
        <is>
          <t>Ruas</t>
        </is>
      </c>
      <c r="C72" s="3" t="inlineStr">
        <is>
          <t>RUAS-069</t>
        </is>
      </c>
      <c r="D72" s="3" t="inlineStr">
        <is>
          <t>Panjang ruas (m)</t>
        </is>
      </c>
      <c r="E72" s="3" t="inlineStr">
        <is>
          <t>865.9</t>
        </is>
      </c>
      <c r="F72" s="3" t="inlineStr">
        <is>
          <t>dibiarkan</t>
        </is>
      </c>
      <c r="G72" s="3" t="inlineStr">
        <is>
          <t>jauh di luar rentang 50-255 m ruas lain</t>
        </is>
      </c>
    </row>
    <row r="73" ht="15" customHeight="1">
      <c r="A73" s="16" t="inlineStr">
        <is>
          <t>2 SEDANG</t>
        </is>
      </c>
      <c r="B73" s="3" t="inlineStr">
        <is>
          <t>Ruas</t>
        </is>
      </c>
      <c r="C73" s="3" t="inlineStr">
        <is>
          <t>RUAS-070</t>
        </is>
      </c>
      <c r="D73" s="3" t="inlineStr">
        <is>
          <t>Tanggal</t>
        </is>
      </c>
      <c r="E73" s="3" t="inlineStr">
        <is>
          <t>kosong</t>
        </is>
      </c>
      <c r="F73" s="3" t="inlineStr">
        <is>
          <t>-&gt; 2026-08-18</t>
        </is>
      </c>
      <c r="G73" s="3" t="inlineStr">
        <is>
          <t>diisi dari "Day 3" (peta hari otoritatif)</t>
        </is>
      </c>
    </row>
    <row r="74" ht="15" customHeight="1">
      <c r="A74" s="16" t="inlineStr">
        <is>
          <t>2 SEDANG</t>
        </is>
      </c>
      <c r="B74" s="3" t="inlineStr">
        <is>
          <t>Ruas</t>
        </is>
      </c>
      <c r="C74" s="3" t="inlineStr">
        <is>
          <t>RUAS-071</t>
        </is>
      </c>
      <c r="D74" s="3" t="inlineStr">
        <is>
          <t>Tanggal</t>
        </is>
      </c>
      <c r="E74" s="3" t="inlineStr">
        <is>
          <t>kosong</t>
        </is>
      </c>
      <c r="F74" s="3" t="inlineStr">
        <is>
          <t>-&gt; 2026-08-18</t>
        </is>
      </c>
      <c r="G74" s="3" t="inlineStr">
        <is>
          <t>diisi dari "Day 3" (peta hari otoritatif)</t>
        </is>
      </c>
    </row>
    <row r="75" ht="15" customHeight="1">
      <c r="A75" s="16" t="inlineStr">
        <is>
          <t>2 SEDANG</t>
        </is>
      </c>
      <c r="B75" s="3" t="inlineStr">
        <is>
          <t>Ruas</t>
        </is>
      </c>
      <c r="C75" s="3" t="inlineStr">
        <is>
          <t>RUAS-072</t>
        </is>
      </c>
      <c r="D75" s="3" t="inlineStr">
        <is>
          <t>Tanggal</t>
        </is>
      </c>
      <c r="E75" s="3" t="inlineStr">
        <is>
          <t>kosong</t>
        </is>
      </c>
      <c r="F75" s="3" t="inlineStr">
        <is>
          <t>-&gt; 2026-08-18</t>
        </is>
      </c>
      <c r="G75" s="3" t="inlineStr">
        <is>
          <t>diisi dari "Day 3" (peta hari otoritatif)</t>
        </is>
      </c>
    </row>
    <row r="76" ht="15" customHeight="1">
      <c r="A76" s="16" t="inlineStr">
        <is>
          <t>2 SEDANG</t>
        </is>
      </c>
      <c r="B76" s="3" t="inlineStr">
        <is>
          <t>Ruas</t>
        </is>
      </c>
      <c r="C76" s="3" t="inlineStr">
        <is>
          <t>RUAS-073</t>
        </is>
      </c>
      <c r="D76" s="3" t="inlineStr">
        <is>
          <t>Tanggal</t>
        </is>
      </c>
      <c r="E76" s="3" t="inlineStr">
        <is>
          <t>kosong</t>
        </is>
      </c>
      <c r="F76" s="3" t="inlineStr">
        <is>
          <t>-&gt; 2026-08-18</t>
        </is>
      </c>
      <c r="G76" s="3" t="inlineStr">
        <is>
          <t>diisi dari "Day 3" (peta hari otoritatif)</t>
        </is>
      </c>
    </row>
    <row r="77" ht="15" customHeight="1">
      <c r="A77" s="16" t="inlineStr">
        <is>
          <t>2 SEDANG</t>
        </is>
      </c>
      <c r="B77" s="3" t="inlineStr">
        <is>
          <t>Ruas</t>
        </is>
      </c>
      <c r="C77" s="3" t="inlineStr">
        <is>
          <t>RUAS-073</t>
        </is>
      </c>
      <c r="D77" s="3" t="inlineStr">
        <is>
          <t>Jam</t>
        </is>
      </c>
      <c r="E77" s="3" t="inlineStr">
        <is>
          <t>21:34</t>
        </is>
      </c>
      <c r="F77" s="3" t="inlineStr">
        <is>
          <t>dibiarkan</t>
        </is>
      </c>
      <c r="G77" s="3" t="inlineStr">
        <is>
          <t>pengamatan malam; pastikan bukan salah ketik</t>
        </is>
      </c>
    </row>
    <row r="78" ht="15" customHeight="1">
      <c r="A78" s="16" t="inlineStr">
        <is>
          <t>2 SEDANG</t>
        </is>
      </c>
      <c r="B78" s="3" t="inlineStr">
        <is>
          <t>Ruas</t>
        </is>
      </c>
      <c r="C78" s="3" t="inlineStr">
        <is>
          <t>RUAS-074</t>
        </is>
      </c>
      <c r="D78" s="3" t="inlineStr">
        <is>
          <t>Tanggal</t>
        </is>
      </c>
      <c r="E78" s="3" t="inlineStr">
        <is>
          <t>kosong</t>
        </is>
      </c>
      <c r="F78" s="3" t="inlineStr">
        <is>
          <t>-&gt; 2026-08-18</t>
        </is>
      </c>
      <c r="G78" s="3" t="inlineStr">
        <is>
          <t>diisi dari "Day 3" (peta hari otoritatif)</t>
        </is>
      </c>
    </row>
    <row r="79" ht="15" customHeight="1">
      <c r="A79" s="16" t="inlineStr">
        <is>
          <t>2 SEDANG</t>
        </is>
      </c>
      <c r="B79" s="3" t="inlineStr">
        <is>
          <t>Ruas</t>
        </is>
      </c>
      <c r="C79" s="3" t="inlineStr">
        <is>
          <t>RUAS-074</t>
        </is>
      </c>
      <c r="D79" s="3" t="inlineStr">
        <is>
          <t>Jam</t>
        </is>
      </c>
      <c r="E79" s="3" t="inlineStr">
        <is>
          <t>21:41</t>
        </is>
      </c>
      <c r="F79" s="3" t="inlineStr">
        <is>
          <t>dibiarkan</t>
        </is>
      </c>
      <c r="G79" s="3" t="inlineStr">
        <is>
          <t>pengamatan malam; pastikan bukan salah ketik</t>
        </is>
      </c>
    </row>
    <row r="80" ht="15" customHeight="1">
      <c r="A80" s="16" t="inlineStr">
        <is>
          <t>2 SEDANG</t>
        </is>
      </c>
      <c r="B80" s="3" t="inlineStr">
        <is>
          <t>Ruas</t>
        </is>
      </c>
      <c r="C80" s="3" t="inlineStr">
        <is>
          <t>RUAS-075</t>
        </is>
      </c>
      <c r="D80" s="3" t="inlineStr">
        <is>
          <t>Tanggal</t>
        </is>
      </c>
      <c r="E80" s="3" t="inlineStr">
        <is>
          <t>kosong</t>
        </is>
      </c>
      <c r="F80" s="3" t="inlineStr">
        <is>
          <t>-&gt; 2026-08-18</t>
        </is>
      </c>
      <c r="G80" s="3" t="inlineStr">
        <is>
          <t>diisi dari "Day 3" (peta hari otoritatif)</t>
        </is>
      </c>
    </row>
    <row r="81" ht="15" customHeight="1">
      <c r="A81" s="16" t="inlineStr">
        <is>
          <t>2 SEDANG</t>
        </is>
      </c>
      <c r="B81" s="3" t="inlineStr">
        <is>
          <t>Ruas</t>
        </is>
      </c>
      <c r="C81" s="3" t="inlineStr">
        <is>
          <t>RUAS-075</t>
        </is>
      </c>
      <c r="D81" s="3" t="inlineStr">
        <is>
          <t>Jam</t>
        </is>
      </c>
      <c r="E81" s="3" t="inlineStr">
        <is>
          <t>21:55</t>
        </is>
      </c>
      <c r="F81" s="3" t="inlineStr">
        <is>
          <t>dibiarkan</t>
        </is>
      </c>
      <c r="G81" s="3" t="inlineStr">
        <is>
          <t>pengamatan malam; pastikan bukan salah ketik</t>
        </is>
      </c>
    </row>
    <row r="82" ht="15" customHeight="1">
      <c r="A82" s="16" t="inlineStr">
        <is>
          <t>2 SEDANG</t>
        </is>
      </c>
      <c r="B82" s="3" t="inlineStr">
        <is>
          <t>Ruas</t>
        </is>
      </c>
      <c r="C82" s="3" t="inlineStr">
        <is>
          <t>RUAS-076</t>
        </is>
      </c>
      <c r="D82" s="3" t="inlineStr">
        <is>
          <t>Tanggal</t>
        </is>
      </c>
      <c r="E82" s="3" t="inlineStr">
        <is>
          <t>kosong</t>
        </is>
      </c>
      <c r="F82" s="3" t="inlineStr">
        <is>
          <t>-&gt; 2026-08-18</t>
        </is>
      </c>
      <c r="G82" s="3" t="inlineStr">
        <is>
          <t>diisi dari "Day 3" (peta hari otoritatif)</t>
        </is>
      </c>
    </row>
    <row r="83" ht="15" customHeight="1">
      <c r="A83" s="16" t="inlineStr">
        <is>
          <t>2 SEDANG</t>
        </is>
      </c>
      <c r="B83" s="3" t="inlineStr">
        <is>
          <t>Ruas</t>
        </is>
      </c>
      <c r="C83" s="3" t="inlineStr">
        <is>
          <t>RUAS-076</t>
        </is>
      </c>
      <c r="D83" s="3" t="inlineStr">
        <is>
          <t>Jam</t>
        </is>
      </c>
      <c r="E83" s="3" t="inlineStr">
        <is>
          <t>22:05</t>
        </is>
      </c>
      <c r="F83" s="3" t="inlineStr">
        <is>
          <t>dibiarkan</t>
        </is>
      </c>
      <c r="G83" s="3" t="inlineStr">
        <is>
          <t>pengamatan malam; pastikan bukan salah ketik</t>
        </is>
      </c>
    </row>
    <row r="84" ht="15" customHeight="1">
      <c r="A84" s="17" t="inlineStr">
        <is>
          <t>3 RENDAH</t>
        </is>
      </c>
      <c r="B84" s="3" t="inlineStr">
        <is>
          <t>Halte</t>
        </is>
      </c>
      <c r="C84" s="3" t="inlineStr">
        <is>
          <t>HLT-011</t>
        </is>
      </c>
      <c r="D84" s="3" t="inlineStr">
        <is>
          <t>Koridor</t>
        </is>
      </c>
      <c r="E84" s="3" t="inlineStr">
        <is>
          <t>5BP</t>
        </is>
      </c>
      <c r="F84" s="3" t="inlineStr">
        <is>
          <t>-&gt; 5B</t>
        </is>
      </c>
      <c r="G84" s="3" t="inlineStr">
        <is>
          <t>akhiran "P" diduga salah ketik</t>
        </is>
      </c>
    </row>
    <row r="85" ht="15" customHeight="1">
      <c r="A85" s="17" t="inlineStr">
        <is>
          <t>3 RENDAH</t>
        </is>
      </c>
      <c r="B85" s="3" t="inlineStr">
        <is>
          <t>Ruas</t>
        </is>
      </c>
      <c r="C85" s="3" t="inlineStr">
        <is>
          <t>RUAS-009</t>
        </is>
      </c>
      <c r="D85" s="3" t="inlineStr">
        <is>
          <t>Lebar Trotoar (m)</t>
        </is>
      </c>
      <c r="E85" s="3" t="inlineStr">
        <is>
          <t>1.2 m</t>
        </is>
      </c>
      <c r="F85" s="3" t="inlineStr">
        <is>
          <t>-&gt; 1.2</t>
        </is>
      </c>
      <c r="G85" s="3" t="inlineStr">
        <is>
          <t>teks tambahan pada "1.2 m" diabaikan</t>
        </is>
      </c>
    </row>
    <row r="86" ht="15" customHeight="1">
      <c r="A86" s="17" t="inlineStr">
        <is>
          <t>3 RENDAH</t>
        </is>
      </c>
      <c r="B86" s="3" t="inlineStr">
        <is>
          <t>Ruas</t>
        </is>
      </c>
      <c r="C86" s="3" t="inlineStr">
        <is>
          <t>RUAS-063</t>
        </is>
      </c>
      <c r="D86" s="3" t="inlineStr">
        <is>
          <t>Panjang ruas (m)</t>
        </is>
      </c>
      <c r="E86" s="3" t="inlineStr">
        <is>
          <t>199,3 meter</t>
        </is>
      </c>
      <c r="F86" s="3" t="inlineStr">
        <is>
          <t>-&gt; 199.3</t>
        </is>
      </c>
      <c r="G86" s="3" t="inlineStr">
        <is>
          <t>teks tambahan pada "199,3 meter" diabaikan</t>
        </is>
      </c>
    </row>
    <row r="87" ht="15" customHeight="1">
      <c r="A87" s="17" t="inlineStr">
        <is>
          <t>3 RENDAH</t>
        </is>
      </c>
      <c r="B87" s="3" t="inlineStr">
        <is>
          <t>Ruas</t>
        </is>
      </c>
      <c r="C87" s="3" t="inlineStr">
        <is>
          <t>RUAS-063</t>
        </is>
      </c>
      <c r="D87" s="3" t="inlineStr">
        <is>
          <t>Lebar Jalan (m)</t>
        </is>
      </c>
      <c r="E87" s="3" t="inlineStr">
        <is>
          <t>12.8 m</t>
        </is>
      </c>
      <c r="F87" s="3" t="inlineStr">
        <is>
          <t>-&gt; 12.8</t>
        </is>
      </c>
      <c r="G87" s="3" t="inlineStr">
        <is>
          <t>teks tambahan pada "12.8 m" diabaikan</t>
        </is>
      </c>
    </row>
    <row r="88" ht="15" customHeight="1">
      <c r="A88" s="17" t="inlineStr">
        <is>
          <t>3 RENDAH</t>
        </is>
      </c>
      <c r="B88" s="3" t="inlineStr">
        <is>
          <t>Ruas</t>
        </is>
      </c>
      <c r="C88" s="3" t="inlineStr">
        <is>
          <t>RUAS-064</t>
        </is>
      </c>
      <c r="D88" s="3" t="inlineStr">
        <is>
          <t>Jumlah lubang atau paving lepas</t>
        </is>
      </c>
      <c r="E88" s="3" t="inlineStr">
        <is>
          <t>2 (keramik lrpas)</t>
        </is>
      </c>
      <c r="F88" s="3" t="inlineStr">
        <is>
          <t>-&gt; 2.0</t>
        </is>
      </c>
      <c r="G88" s="3" t="inlineStr">
        <is>
          <t>teks tambahan pada "2 (keramik lrpas)" diabaikan</t>
        </is>
      </c>
    </row>
    <row r="89" ht="15" customHeight="1">
      <c r="A89" s="17" t="inlineStr">
        <is>
          <t>3 RENDAH</t>
        </is>
      </c>
      <c r="B89" s="3" t="inlineStr">
        <is>
          <t>Ruas</t>
        </is>
      </c>
      <c r="C89" s="3" t="inlineStr">
        <is>
          <t>RUAS-069</t>
        </is>
      </c>
      <c r="D89" s="3" t="inlineStr">
        <is>
          <t>Panjang ruas (m)</t>
        </is>
      </c>
      <c r="E89" s="3" t="inlineStr">
        <is>
          <t>865,9 meter</t>
        </is>
      </c>
      <c r="F89" s="3" t="inlineStr">
        <is>
          <t>-&gt; 865.9</t>
        </is>
      </c>
      <c r="G89" s="3" t="inlineStr">
        <is>
          <t>teks tambahan pada "865,9 meter" diabaikan</t>
        </is>
      </c>
    </row>
    <row r="90" ht="15" customHeight="1">
      <c r="A90" s="17" t="inlineStr">
        <is>
          <t>3 RENDAH</t>
        </is>
      </c>
      <c r="B90" s="3" t="inlineStr">
        <is>
          <t>Ruas</t>
        </is>
      </c>
      <c r="C90" s="3" t="inlineStr">
        <is>
          <t>RUAS-070</t>
        </is>
      </c>
      <c r="D90" s="3" t="inlineStr">
        <is>
          <t>Jumlah lubang atau paving lepas</t>
        </is>
      </c>
      <c r="E90" s="3" t="inlineStr">
        <is>
          <t>tidak ada</t>
        </is>
      </c>
      <c r="F90" s="3" t="inlineStr">
        <is>
          <t>-&gt; 0.0</t>
        </is>
      </c>
      <c r="G90" s="3" t="inlineStr">
        <is>
          <t>teks "tidak ada" -&gt; 0</t>
        </is>
      </c>
    </row>
    <row r="91" ht="15" customHeight="1">
      <c r="A91" s="17" t="inlineStr">
        <is>
          <t>3 RENDAH</t>
        </is>
      </c>
      <c r="B91" s="3" t="inlineStr">
        <is>
          <t>Ruas</t>
        </is>
      </c>
      <c r="C91" s="3" t="inlineStr">
        <is>
          <t>RUAS-071</t>
        </is>
      </c>
      <c r="D91" s="3" t="inlineStr">
        <is>
          <t>Jumlah lubang atau paving lepas</t>
        </is>
      </c>
      <c r="E91" s="3" t="inlineStr">
        <is>
          <t>tidak ada</t>
        </is>
      </c>
      <c r="F91" s="3" t="inlineStr">
        <is>
          <t>-&gt; 0.0</t>
        </is>
      </c>
      <c r="G91" s="3" t="inlineStr">
        <is>
          <t>teks "tidak ada" -&gt; 0</t>
        </is>
      </c>
    </row>
    <row r="92" ht="15" customHeight="1">
      <c r="A92" s="17" t="inlineStr">
        <is>
          <t>3 RENDAH</t>
        </is>
      </c>
      <c r="B92" s="3" t="inlineStr">
        <is>
          <t>Ruas</t>
        </is>
      </c>
      <c r="C92" s="3" t="inlineStr">
        <is>
          <t>RUAS-072</t>
        </is>
      </c>
      <c r="D92" s="3" t="inlineStr">
        <is>
          <t>Jumlah lubang atau paving lepas</t>
        </is>
      </c>
      <c r="E92" s="3" t="inlineStr">
        <is>
          <t>tidak ada</t>
        </is>
      </c>
      <c r="F92" s="3" t="inlineStr">
        <is>
          <t>-&gt; 0.0</t>
        </is>
      </c>
      <c r="G92" s="3" t="inlineStr">
        <is>
          <t>teks "tidak ada" -&gt; 0</t>
        </is>
      </c>
    </row>
    <row r="93" ht="15" customHeight="1">
      <c r="A93" s="17" t="inlineStr">
        <is>
          <t>3 RENDAH</t>
        </is>
      </c>
      <c r="B93" s="3" t="inlineStr">
        <is>
          <t>Ruas</t>
        </is>
      </c>
      <c r="C93" s="3" t="inlineStr">
        <is>
          <t>RUAS-073</t>
        </is>
      </c>
      <c r="D93" s="3" t="inlineStr">
        <is>
          <t>Panjang trotoar terputus (m)</t>
        </is>
      </c>
      <c r="E93" s="3" t="inlineStr">
        <is>
          <t>0 (masih bisa dilewati)</t>
        </is>
      </c>
      <c r="F93" s="3" t="inlineStr">
        <is>
          <t>-&gt; 0.0</t>
        </is>
      </c>
      <c r="G93" s="3" t="inlineStr">
        <is>
          <t>teks tambahan pada "0 (masih bisa dilewati)" diabaikan</t>
        </is>
      </c>
    </row>
  </sheetData>
  <autoFilter ref="A1:G93"/>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2026-09-03T08:01:59Z</dcterms:created>
  <dcterms:modified xmlns:dcterms="http://purl.org/dc/terms/" xmlns:xsi="http://www.w3.org/2001/XMLSchema-instance" xsi:type="dcterms:W3CDTF">2026-09-08T16:24:11Z</dcterms:modified>
  <cp:lastModifiedBy>andalan7676@outlook.com</cp:lastModifiedBy>
  <cp:revision>0</cp:revision>
</cp:coreProperties>
</file>